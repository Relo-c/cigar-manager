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65b80ae23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盒" sheetId="1" r:id="Rbb6db44f0ff34930"/>
    <x:sheet xmlns:r="http://schemas.openxmlformats.org/officeDocument/2006/relationships" name="散支" sheetId="2" r:id="R972848045c5046c6"/>
    <x:sheet xmlns:r="http://schemas.openxmlformats.org/officeDocument/2006/relationships" name="说明" sheetId="3" r:id="R413c5de2e1c4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¥#,##0"/>
    <x:numFmt numFmtId="201" formatCode="#,##0"/>
    <x:numFmt numFmtId="202" formatCode="0"/>
    <x:numFmt numFmtId="203" formatCode="yyyy-mm-dd hh:mm"/>
    <x:numFmt numFmtId="204" formatCode="#,##0.00"/>
    <x:numFmt numFmtId="205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25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574C3"/>
      </x:patternFill>
    </x:fill>
    <x:fill>
      <x:patternFill patternType="solid">
        <x:fgColor rgb="FF4F5DA3"/>
      </x:patternFill>
    </x:fill>
  </x:fills>
  <x:borders count="7">
    <x:border/>
    <x:border>
      <x:left style="thin">
        <x:color rgb="FF5362AD"/>
      </x:left>
      <x:top style="thin">
        <x:color rgb="FF5362AD"/>
      </x:top>
      <x:bottom style="thin">
        <x:color rgb="FF5362AD"/>
      </x:bottom>
    </x:border>
    <x:border>
      <x:top style="thin">
        <x:color rgb="FF5362AD"/>
      </x:top>
      <x:bottom style="thin">
        <x:color rgb="FF5362AD"/>
      </x:bottom>
    </x:border>
    <x:border>
      <x:right style="thin">
        <x:color rgb="FF5362AD"/>
      </x:right>
      <x:top style="thin">
        <x:color rgb="FF5362AD"/>
      </x:top>
      <x:bottom style="thin">
        <x:color rgb="FF5362AD"/>
      </x:bottom>
    </x:border>
    <x:border>
      <x:bottom style="thin">
        <x:color rgb="FFE6E5F0"/>
      </x:bottom>
    </x:border>
    <x:border>
      <x:top style="thin">
        <x:color rgb="FFE6E5F0"/>
      </x:top>
      <x:bottom style="thin">
        <x:color rgb="FFE6E5F0"/>
      </x:bottom>
    </x:border>
    <x:border>
      <x:top style="thin">
        <x:color rgb="FFE6E5F0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7F7FC"/>
        </x:patternFill>
      </x:fill>
    </x:dxf>
    <x:dxf>
      <x:fill>
        <x:patternFill patternType="solid">
          <x:bgColor rgb="FFF7F7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9cd24945b4593" /><Relationship Type="http://schemas.openxmlformats.org/officeDocument/2006/relationships/theme" Target="/xl/theme/theme1.xml" Id="R3e89fd8a730b41f4" /><Relationship Type="http://schemas.openxmlformats.org/officeDocument/2006/relationships/sharedStrings" Target="/xl/sharedStrings.xml" Id="Rbaf8b6a7d2e94593" /><Relationship Type="http://schemas.openxmlformats.org/officeDocument/2006/relationships/worksheet" Target="/xl/worksheets/sheet1.xml" Id="Rbb6db44f0ff34930" /><Relationship Type="http://schemas.openxmlformats.org/officeDocument/2006/relationships/worksheet" Target="/xl/worksheets/sheet2.xml" Id="R972848045c5046c6" /><Relationship Type="http://schemas.openxmlformats.org/officeDocument/2006/relationships/worksheet" Target="/xl/worksheets/sheet3.xml" Id="R413c5de2e1c4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10" hidden="0" customWidth="1"/>
    <x:col min="8" max="8" width="16" hidden="0" customWidth="1"/>
    <x:col min="9" max="9" width="10" hidden="0" customWidth="1"/>
    <x:col min="10" max="10" width="20" hidden="0" customWidth="1"/>
    <x:col min="11" max="11" width="12" hidden="0" customWidth="1"/>
    <x:col min="12" max="12" width="14" hidden="0" customWidth="1"/>
    <x:col min="13" max="13" width="12" hidden="0" customWidth="1"/>
    <x:col min="14" max="14" width="54" hidden="0" customWidth="1"/>
  </x:cols>
  <x:sheetData>
    <x:row r="1" ht="28" customHeight="1">
      <x:c r="A1" s="9" t="str">
        <x:v>品牌</x:v>
      </x:c>
      <x:c r="B1" s="10" t="str">
        <x:v>型号</x:v>
      </x:c>
      <x:c r="C1" s="10" t="str">
        <x:v>环径</x:v>
      </x:c>
      <x:c r="D1" s="10" t="str">
        <x:v>单盒价格</x:v>
      </x:c>
      <x:c r="E1" s="10" t="str">
        <x:v>单盒支数</x:v>
      </x:c>
      <x:c r="F1" s="10" t="str">
        <x:v>编号</x:v>
      </x:c>
      <x:c r="G1" s="10" t="str">
        <x:v>年份</x:v>
      </x:c>
      <x:c r="H1" s="10" t="str">
        <x:v>来源</x:v>
      </x:c>
      <x:c r="I1" s="10" t="str">
        <x:v>柜号</x:v>
      </x:c>
      <x:c r="J1" s="10" t="str">
        <x:v>入库时间</x:v>
      </x:c>
      <x:c r="K1" s="10" t="str">
        <x:v>参考币种</x:v>
      </x:c>
      <x:c r="L1" s="10" t="str">
        <x:v>参考原价</x:v>
      </x:c>
      <x:c r="M1" s="10" t="str">
        <x:v>采用汇率</x:v>
      </x:c>
      <x:c r="N1" s="11" t="str">
        <x:v>参考页面</x:v>
      </x:c>
    </x:row>
    <x:row r="2" ht="24" customHeight="1">
      <x:c r="A2" s="16" t="str">
        <x:v>波尔拉腊尼亚加</x:v>
      </x:c>
      <x:c r="B2" s="16" t="str">
        <x:v>Montecarlos 2015</x:v>
      </x:c>
      <x:c r="C2" s="16" t="str">
        <x:v>33|159</x:v>
      </x:c>
      <x:c r="D2" s="19" t="n">
        <x:v>5950</x:v>
      </x:c>
      <x:c r="E2" s="22" t="n">
        <x:v>25</x:v>
      </x:c>
      <x:c r="F2" s="16" t="str">
        <x:v>TEST-48-2-763116</x:v>
      </x:c>
      <x:c r="G2" s="25" t="n">
        <x:v>2015</x:v>
      </x:c>
      <x:c r="H2" s="16" t="str">
        <x:v>COH香港</x:v>
      </x:c>
      <x:c r="I2" s="16" t="str">
        <x:v>M</x:v>
      </x:c>
      <x:c r="J2" s="28" t="n">
        <x:v>44864.74601271991</x:v>
      </x:c>
      <x:c r="K2" s="16" t="str">
        <x:v>HKD</x:v>
      </x:c>
      <x:c r="L2" s="31" t="n">
        <x:v>7300</x:v>
      </x:c>
      <x:c r="M2" s="34" t="n">
        <x:v>0.8629433119240435</x:v>
      </x:c>
      <x:c r="N2" s="16" t="str">
        <x:v>https://hk.cohcigars.com/products/vintage-2015-por-larranaga-montecarlos-box-25</x:v>
      </x:c>
    </x:row>
    <x:row r="3" ht="24" customHeight="1">
      <x:c r="A3" s="17" t="str">
        <x:v>多尔塞码头</x:v>
      </x:c>
      <x:c r="B3" s="17" t="str">
        <x:v>Secreto Cubano 法国地区版 2016</x:v>
      </x:c>
      <x:c r="C3" s="17" t="str">
        <x:v>40|110</x:v>
      </x:c>
      <x:c r="D3" s="20" t="n">
        <x:v>6780</x:v>
      </x:c>
      <x:c r="E3" s="23" t="n">
        <x:v>10</x:v>
      </x:c>
      <x:c r="F3" s="17" t="str">
        <x:v>TEST-29-2-222482</x:v>
      </x:c>
      <x:c r="G3" s="26" t="n">
        <x:v>2016</x:v>
      </x:c>
      <x:c r="H3" s="17" t="str">
        <x:v>香港PCC</x:v>
      </x:c>
      <x:c r="I3" s="17" t="str">
        <x:v>B2</x:v>
      </x:c>
      <x:c r="J3" s="29" t="n">
        <x:v>45897.81781344907</x:v>
      </x:c>
      <x:c r="K3" s="17" t="str">
        <x:v>HKD</x:v>
      </x:c>
      <x:c r="L3" s="32" t="n">
        <x:v>8100</x:v>
      </x:c>
      <x:c r="M3" s="35" t="n">
        <x:v>0.8629433119240435</x:v>
      </x:c>
      <x:c r="N3" s="17" t="str">
        <x:v>https://hk.cohcigars.com/products/quai-dorsay-secreto-cubano-2016-box-10</x:v>
      </x:c>
    </x:row>
    <x:row r="4" ht="24" customHeight="1">
      <x:c r="A4" s="17" t="str">
        <x:v>比雅达</x:v>
      </x:c>
      <x:c r="B4" s="17" t="str">
        <x:v>Cremas</x:v>
      </x:c>
      <x:c r="C4" s="17" t="str">
        <x:v>40|136</x:v>
      </x:c>
      <x:c r="D4" s="20" t="n">
        <x:v>1680</x:v>
      </x:c>
      <x:c r="E4" s="23" t="n">
        <x:v>25</x:v>
      </x:c>
      <x:c r="F4" s="17" t="str">
        <x:v>TEST-28-1-772813</x:v>
      </x:c>
      <x:c r="G4" s="26" t="n">
        <x:v>2019</x:v>
      </x:c>
      <x:c r="H4" s="17" t="str">
        <x:v>欧洲行货</x:v>
      </x:c>
      <x:c r="I4" s="17" t="str">
        <x:v>TL</x:v>
      </x:c>
      <x:c r="J4" s="29" t="n">
        <x:v>45316.309231377316</x:v>
      </x:c>
      <x:c r="K4" s="17" t="str">
        <x:v>HKD</x:v>
      </x:c>
      <x:c r="L4" s="32" t="n">
        <x:v>1820</x:v>
      </x:c>
      <x:c r="M4" s="35" t="n">
        <x:v>0.8629433119240435</x:v>
      </x:c>
      <x:c r="N4" s="17" t="str">
        <x:v>https://hk.cohcigars.com/products/jose-l-piedra-cigar-cremas-box-25</x:v>
      </x:c>
    </x:row>
    <x:row r="5" ht="24" customHeight="1">
      <x:c r="A5" s="17" t="str">
        <x:v>罗密欧与朱丽叶</x:v>
      </x:c>
      <x:c r="B5" s="17" t="str">
        <x:v>运动员</x:v>
      </x:c>
      <x:c r="C5" s="17" t="str">
        <x:v>35|117</x:v>
      </x:c>
      <x:c r="D5" s="20" t="n">
        <x:v>2050</x:v>
      </x:c>
      <x:c r="E5" s="23" t="n">
        <x:v>25</x:v>
      </x:c>
      <x:c r="F5" s="17" t="str">
        <x:v>TEST-13-2-880402</x:v>
      </x:c>
      <x:c r="G5" s="26" t="n">
        <x:v>2018</x:v>
      </x:c>
      <x:c r="H5" s="17" t="str">
        <x:v>CigarHome香港</x:v>
      </x:c>
      <x:c r="I5" s="17" t="str">
        <x:v>A1</x:v>
      </x:c>
      <x:c r="J5" s="29" t="n">
        <x:v>45000.20760184028</x:v>
      </x:c>
      <x:c r="K5" s="17" t="str">
        <x:v>USD</x:v>
      </x:c>
      <x:c r="L5" s="32" t="n">
        <x:v>300</x:v>
      </x:c>
      <x:c r="M5" s="35" t="n">
        <x:v>6.766071115782099</x:v>
      </x:c>
      <x:c r="N5" s="17" t="str">
        <x:v>https://www.cigarhome.org/goods/324.html</x:v>
      </x:c>
    </x:row>
    <x:row r="6" ht="24" customHeight="1">
      <x:c r="A6" s="17" t="str">
        <x:v>E.P.卡里略</x:v>
      </x:c>
      <x:c r="B6" s="17" t="str">
        <x:v>Encore Majestic</x:v>
      </x:c>
      <x:c r="C6" s="17" t="str">
        <x:v>52|137</x:v>
      </x:c>
      <x:c r="D6" s="20" t="n">
        <x:v>2770</x:v>
      </x:c>
      <x:c r="E6" s="23" t="n">
        <x:v>20</x:v>
      </x:c>
      <x:c r="F6" s="17" t="str">
        <x:v>TEST-21-1-501519</x:v>
      </x:c>
      <x:c r="G6" s="26" t="n">
        <x:v>2023</x:v>
      </x:c>
      <x:c r="H6" s="17" t="str">
        <x:v>COH香港</x:v>
      </x:c>
      <x:c r="I6" s="17" t="str">
        <x:v>GW</x:v>
      </x:c>
      <x:c r="J6" s="29" t="n">
        <x:v>45582.685508842595</x:v>
      </x:c>
      <x:c r="K6" s="17" t="str">
        <x:v>HKD</x:v>
      </x:c>
      <x:c r="L6" s="32" t="n">
        <x:v>3070</x:v>
      </x:c>
      <x:c r="M6" s="35" t="n">
        <x:v>0.8629433119240435</x:v>
      </x:c>
      <x:c r="N6" s="17" t="str">
        <x:v>https://hk.cohcigars.com/products/e-p-carrillo-encore-majestic-5-38x52-box-of-20</x:v>
      </x:c>
    </x:row>
    <x:row r="7" ht="24" customHeight="1">
      <x:c r="A7" s="17" t="str">
        <x:v>多尔塞码头</x:v>
      </x:c>
      <x:c r="B7" s="17" t="str">
        <x:v>50周年特别版（20支）</x:v>
      </x:c>
      <x:c r="C7" s="17" t="str">
        <x:v>52|156</x:v>
      </x:c>
      <x:c r="D7" s="20" t="n">
        <x:v>15190</x:v>
      </x:c>
      <x:c r="E7" s="23" t="n">
        <x:v>20</x:v>
      </x:c>
      <x:c r="F7" s="17" t="str">
        <x:v>TEST-18-2-462517</x:v>
      </x:c>
      <x:c r="G7" s="26" t="n">
        <x:v>2022</x:v>
      </x:c>
      <x:c r="H7" s="17" t="str">
        <x:v>COH香港</x:v>
      </x:c>
      <x:c r="I7" s="17" t="str">
        <x:v>GW</x:v>
      </x:c>
      <x:c r="J7" s="29" t="n">
        <x:v>45963.19888451389</x:v>
      </x:c>
      <x:c r="K7" s="17" t="str">
        <x:v>USD</x:v>
      </x:c>
      <x:c r="L7" s="32" t="n">
        <x:v>2080</x:v>
      </x:c>
      <x:c r="M7" s="35" t="n">
        <x:v>6.766071115782099</x:v>
      </x:c>
      <x:c r="N7" s="17" t="str">
        <x:v>https://www.cigarhome.org/goods/783.html</x:v>
      </x:c>
    </x:row>
    <x:row r="8" ht="24" customHeight="1">
      <x:c r="A8" s="17" t="str">
        <x:v>外交官</x:v>
      </x:c>
      <x:c r="B8" s="17" t="str">
        <x:v>Grandes 德国地区版 2021</x:v>
      </x:c>
      <x:c r="C8" s="17" t="str">
        <x:v>54|156</x:v>
      </x:c>
      <x:c r="D8" s="20" t="n">
        <x:v>18330</x:v>
      </x:c>
      <x:c r="E8" s="23" t="n">
        <x:v>25</x:v>
      </x:c>
      <x:c r="F8" s="17" t="str">
        <x:v>TEST-38-1-216277</x:v>
      </x:c>
      <x:c r="G8" s="26" t="n">
        <x:v>2021</x:v>
      </x:c>
      <x:c r="H8" s="17" t="str">
        <x:v>COH香港</x:v>
      </x:c>
      <x:c r="I8" s="17" t="str">
        <x:v>TL</x:v>
      </x:c>
      <x:c r="J8" s="29" t="n">
        <x:v>45541.853136481484</x:v>
      </x:c>
      <x:c r="K8" s="17" t="str">
        <x:v>HKD</x:v>
      </x:c>
      <x:c r="L8" s="32" t="n">
        <x:v>22800</x:v>
      </x:c>
      <x:c r="M8" s="35" t="n">
        <x:v>0.8629433119240435</x:v>
      </x:c>
      <x:c r="N8" s="17" t="str">
        <x:v>https://hk.cohcigars.com/products/grandes-er-alemania-2021-box-25-diplomaticos-cigars</x:v>
      </x:c>
    </x:row>
    <x:row r="9" ht="24" customHeight="1">
      <x:c r="A9" s="17" t="str">
        <x:v>高希霸</x:v>
      </x:c>
      <x:c r="B9" s="17" t="str">
        <x:v>Vistosos</x:v>
      </x:c>
      <x:c r="C9" s="17" t="str">
        <x:v>56|156</x:v>
      </x:c>
      <x:c r="D9" s="20" t="n">
        <x:v>23040</x:v>
      </x:c>
      <x:c r="E9" s="23" t="n">
        <x:v>10</x:v>
      </x:c>
      <x:c r="F9" s="17" t="str">
        <x:v>TEST-50-2-882444</x:v>
      </x:c>
      <x:c r="G9" s="26" t="n">
        <x:v>2025</x:v>
      </x:c>
      <x:c r="H9" s="17" t="str">
        <x:v>英国EMS</x:v>
      </x:c>
      <x:c r="I9" s="17" t="str">
        <x:v>M</x:v>
      </x:c>
      <x:c r="J9" s="29" t="n">
        <x:v>45333.60679121528</x:v>
      </x:c>
      <x:c r="K9" s="17" t="str">
        <x:v>HKD</x:v>
      </x:c>
      <x:c r="L9" s="32" t="n">
        <x:v>28200</x:v>
      </x:c>
      <x:c r="M9" s="35" t="n">
        <x:v>0.8629433119240435</x:v>
      </x:c>
      <x:c r="N9" s="17" t="str">
        <x:v>https://hk.cohcigars.com/products/cohiba-vistosos-box-10</x:v>
      </x:c>
    </x:row>
    <x:row r="10" ht="24" customHeight="1">
      <x:c r="A10" s="17" t="str">
        <x:v>高希霸</x:v>
      </x:c>
      <x:c r="B10" s="17" t="str">
        <x:v>世纪一号</x:v>
      </x:c>
      <x:c r="C10" s="17" t="str">
        <x:v>40|102</x:v>
      </x:c>
      <x:c r="D10" s="20" t="n">
        <x:v>8750</x:v>
      </x:c>
      <x:c r="E10" s="23" t="n">
        <x:v>25</x:v>
      </x:c>
      <x:c r="F10" s="17" t="str">
        <x:v>TEST-01-2-462792</x:v>
      </x:c>
      <x:c r="G10" s="26" t="n">
        <x:v>2022</x:v>
      </x:c>
      <x:c r="H10" s="17" t="str">
        <x:v>香港PCC</x:v>
      </x:c>
      <x:c r="I10" s="17" t="str">
        <x:v>A1</x:v>
      </x:c>
      <x:c r="J10" s="29" t="n">
        <x:v>45907.630940138886</x:v>
      </x:c>
      <x:c r="K10" s="17" t="str">
        <x:v>USD</x:v>
      </x:c>
      <x:c r="L10" s="32" t="n">
        <x:v>1380</x:v>
      </x:c>
      <x:c r="M10" s="35" t="n">
        <x:v>6.766071115782099</x:v>
      </x:c>
      <x:c r="N10" s="17" t="str">
        <x:v>https://www.cigarhome.org/goods/39.html</x:v>
      </x:c>
    </x:row>
    <x:row r="11" ht="24" customHeight="1">
      <x:c r="A11" s="17" t="str">
        <x:v>帕特加斯</x:v>
      </x:c>
      <x:c r="B11" s="17" t="str">
        <x:v>短帕</x:v>
      </x:c>
      <x:c r="C11" s="17" t="str">
        <x:v>42|110</x:v>
      </x:c>
      <x:c r="D11" s="20" t="n">
        <x:v>2870</x:v>
      </x:c>
      <x:c r="E11" s="23" t="n">
        <x:v>25</x:v>
      </x:c>
      <x:c r="F11" s="17" t="str">
        <x:v>TEST-07-1-276271</x:v>
      </x:c>
      <x:c r="G11" s="26" t="n">
        <x:v>2025</x:v>
      </x:c>
      <x:c r="H11" s="17" t="str">
        <x:v>COH香港</x:v>
      </x:c>
      <x:c r="I11" s="17" t="str">
        <x:v>A1</x:v>
      </x:c>
      <x:c r="J11" s="29" t="n">
        <x:v>44992.89290832176</x:v>
      </x:c>
      <x:c r="K11" s="17" t="str">
        <x:v>USD</x:v>
      </x:c>
      <x:c r="L11" s="32" t="n">
        <x:v>400</x:v>
      </x:c>
      <x:c r="M11" s="35" t="n">
        <x:v>6.766071115782099</x:v>
      </x:c>
      <x:c r="N11" s="17" t="str">
        <x:v>https://www.cigarhome.org/goods/262.html</x:v>
      </x:c>
    </x:row>
    <x:row r="12" ht="24" customHeight="1">
      <x:c r="A12" s="17" t="str">
        <x:v>雷蒙阿龙尼</x:v>
      </x:c>
      <x:c r="B12" s="17" t="str">
        <x:v>小俱乐部高朗拿</x:v>
      </x:c>
      <x:c r="C12" s="17" t="str">
        <x:v>42|110</x:v>
      </x:c>
      <x:c r="D12" s="20" t="n">
        <x:v>2750</x:v>
      </x:c>
      <x:c r="E12" s="23" t="n">
        <x:v>25</x:v>
      </x:c>
      <x:c r="F12" s="17" t="str">
        <x:v>TEST-15-1-588108</x:v>
      </x:c>
      <x:c r="G12" s="26" t="n">
        <x:v>2022</x:v>
      </x:c>
      <x:c r="H12" s="17" t="str">
        <x:v>CigarHome香港</x:v>
      </x:c>
      <x:c r="I12" s="17" t="str">
        <x:v>GW</x:v>
      </x:c>
      <x:c r="J12" s="29" t="n">
        <x:v>44403.217252905095</x:v>
      </x:c>
      <x:c r="K12" s="17" t="str">
        <x:v>USD</x:v>
      </x:c>
      <x:c r="L12" s="32" t="n">
        <x:v>400</x:v>
      </x:c>
      <x:c r="M12" s="35" t="n">
        <x:v>6.766071115782099</x:v>
      </x:c>
      <x:c r="N12" s="17" t="str">
        <x:v>https://www.cigarhome.org/goods/111.html</x:v>
      </x:c>
    </x:row>
    <x:row r="13" ht="24" customHeight="1">
      <x:c r="A13" s="17" t="str">
        <x:v>大卫杜夫</x:v>
      </x:c>
      <x:c r="B13" s="17" t="str">
        <x:v>香港限定</x:v>
      </x:c>
      <x:c r="C13" s="17" t="str">
        <x:v>52|140</x:v>
      </x:c>
      <x:c r="D13" s="20" t="n">
        <x:v>2840</x:v>
      </x:c>
      <x:c r="E13" s="23" t="n">
        <x:v>10</x:v>
      </x:c>
      <x:c r="F13" s="17" t="str">
        <x:v>TEST-40-2-499670</x:v>
      </x:c>
      <x:c r="G13" s="26" t="n">
        <x:v>2019</x:v>
      </x:c>
      <x:c r="H13" s="17" t="str">
        <x:v>澳门LCDH</x:v>
      </x:c>
      <x:c r="I13" s="17" t="str">
        <x:v>GW</x:v>
      </x:c>
      <x:c r="J13" s="29" t="n">
        <x:v>45870.07187613426</x:v>
      </x:c>
      <x:c r="K13" s="17" t="str">
        <x:v>HKD</x:v>
      </x:c>
      <x:c r="L13" s="32" t="n">
        <x:v>3550</x:v>
      </x:c>
      <x:c r="M13" s="35" t="n">
        <x:v>0.8629433119240435</x:v>
      </x:c>
      <x:c r="N13" s="17" t="str">
        <x:v>https://hk.cohcigars.com/products/davidoff-cigar-exclusive-hong-kong-box-10</x:v>
      </x:c>
    </x:row>
    <x:row r="14" ht="24" customHeight="1">
      <x:c r="A14" s="17" t="str">
        <x:v>乌普曼</x:v>
      </x:c>
      <x:c r="B14" s="17" t="str">
        <x:v>特许</x:v>
      </x:c>
      <x:c r="C14" s="17" t="str">
        <x:v>42|129</x:v>
      </x:c>
      <x:c r="D14" s="20" t="n">
        <x:v>2720</x:v>
      </x:c>
      <x:c r="E14" s="23" t="n">
        <x:v>25</x:v>
      </x:c>
      <x:c r="F14" s="17" t="str">
        <x:v>TEST-05-1-285523</x:v>
      </x:c>
      <x:c r="G14" s="26" t="n">
        <x:v>2025</x:v>
      </x:c>
      <x:c r="H14" s="17" t="str">
        <x:v>CigarHome香港</x:v>
      </x:c>
      <x:c r="I14" s="17" t="str">
        <x:v>M</x:v>
      </x:c>
      <x:c r="J14" s="29" t="n">
        <x:v>44549.22722195602</x:v>
      </x:c>
      <x:c r="K14" s="17" t="str">
        <x:v>USD</x:v>
      </x:c>
      <x:c r="L14" s="32" t="n">
        <x:v>420</x:v>
      </x:c>
      <x:c r="M14" s="35" t="n">
        <x:v>6.766071115782099</x:v>
      </x:c>
      <x:c r="N14" s="17" t="str">
        <x:v>https://www.cigarhome.org/goods/232.html</x:v>
      </x:c>
    </x:row>
    <x:row r="15" ht="24" customHeight="1">
      <x:c r="A15" s="17" t="str">
        <x:v>帕特加斯</x:v>
      </x:c>
      <x:c r="B15" s="17" t="str">
        <x:v>贵族</x:v>
      </x:c>
      <x:c r="C15" s="17" t="str">
        <x:v>40|129</x:v>
      </x:c>
      <x:c r="D15" s="20" t="n">
        <x:v>2070</x:v>
      </x:c>
      <x:c r="E15" s="23" t="n">
        <x:v>25</x:v>
      </x:c>
      <x:c r="F15" s="17" t="str">
        <x:v>TEST-10-1-591914</x:v>
      </x:c>
      <x:c r="G15" s="26" t="n">
        <x:v>2023</x:v>
      </x:c>
      <x:c r="H15" s="17" t="str">
        <x:v>欧洲行货</x:v>
      </x:c>
      <x:c r="I15" s="17" t="str">
        <x:v>GW</x:v>
      </x:c>
      <x:c r="J15" s="29" t="n">
        <x:v>44578.00137923611</x:v>
      </x:c>
      <x:c r="K15" s="17" t="str">
        <x:v>USD</x:v>
      </x:c>
      <x:c r="L15" s="32" t="n">
        <x:v>330</x:v>
      </x:c>
      <x:c r="M15" s="35" t="n">
        <x:v>6.766071115782099</x:v>
      </x:c>
      <x:c r="N15" s="17" t="str">
        <x:v>https://www.cigarhome.org/goods/277.html</x:v>
      </x:c>
    </x:row>
    <x:row r="16" ht="24" customHeight="1">
      <x:c r="A16" s="17" t="str">
        <x:v>雷蒙阿龙尼</x:v>
      </x:c>
      <x:c r="B16" s="17" t="str">
        <x:v>Absolutos 限量版 2024</x:v>
      </x:c>
      <x:c r="C16" s="17" t="str">
        <x:v>49|156</x:v>
      </x:c>
      <x:c r="D16" s="20" t="n">
        <x:v>11720</x:v>
      </x:c>
      <x:c r="E16" s="23" t="n">
        <x:v>20</x:v>
      </x:c>
      <x:c r="F16" s="17" t="str">
        <x:v>TEST-49-2-181584</x:v>
      </x:c>
      <x:c r="G16" s="26" t="n">
        <x:v>2024</x:v>
      </x:c>
      <x:c r="H16" s="17" t="str">
        <x:v>欧洲行货</x:v>
      </x:c>
      <x:c r="I16" s="17" t="str">
        <x:v>TL</x:v>
      </x:c>
      <x:c r="J16" s="29" t="n">
        <x:v>45603.345612164354</x:v>
      </x:c>
      <x:c r="K16" s="17" t="str">
        <x:v>HKD</x:v>
      </x:c>
      <x:c r="L16" s="32" t="n">
        <x:v>14600</x:v>
      </x:c>
      <x:c r="M16" s="35" t="n">
        <x:v>0.8629433119240435</x:v>
      </x:c>
      <x:c r="N16" s="17" t="str">
        <x:v>https://hk.cohcigars.com/products/ramon-allones-absolutos-el-2024</x:v>
      </x:c>
    </x:row>
    <x:row r="17" ht="24" customHeight="1">
      <x:c r="A17" s="17" t="str">
        <x:v>大卫杜夫</x:v>
      </x:c>
      <x:c r="B17" s="17" t="str">
        <x:v>Yamasa Piramides</x:v>
      </x:c>
      <x:c r="C17" s="17" t="str">
        <x:v>52|156</x:v>
      </x:c>
      <x:c r="D17" s="20" t="n">
        <x:v>3400</x:v>
      </x:c>
      <x:c r="E17" s="23" t="n">
        <x:v>12</x:v>
      </x:c>
      <x:c r="F17" s="17" t="str">
        <x:v>TEST-35-1-111885</x:v>
      </x:c>
      <x:c r="G17" s="26" t="n">
        <x:v>2020</x:v>
      </x:c>
      <x:c r="H17" s="17" t="str">
        <x:v>COH香港</x:v>
      </x:c>
      <x:c r="I17" s="17" t="str">
        <x:v>B2</x:v>
      </x:c>
      <x:c r="J17" s="29" t="n">
        <x:v>45312.5630396875</x:v>
      </x:c>
      <x:c r="K17" s="17" t="str">
        <x:v>HKD</x:v>
      </x:c>
      <x:c r="L17" s="32" t="n">
        <x:v>4223</x:v>
      </x:c>
      <x:c r="M17" s="35" t="n">
        <x:v>0.8629433119240435</x:v>
      </x:c>
      <x:c r="N17" s="17" t="str">
        <x:v>https://hk.cohcigars.com/products/davidoff-cigar-yamasa-piramides-box-12</x:v>
      </x:c>
    </x:row>
    <x:row r="18" ht="24" customHeight="1">
      <x:c r="A18" s="17" t="str">
        <x:v>多尔塞码头</x:v>
      </x:c>
      <x:c r="B18" s="17" t="str">
        <x:v>50周年特别版（5支）</x:v>
      </x:c>
      <x:c r="C18" s="17" t="str">
        <x:v>50|110</x:v>
      </x:c>
      <x:c r="D18" s="20" t="n">
        <x:v>3430</x:v>
      </x:c>
      <x:c r="E18" s="23" t="n">
        <x:v>5</x:v>
      </x:c>
      <x:c r="F18" s="17" t="str">
        <x:v>TEST-14-1-950904</x:v>
      </x:c>
      <x:c r="G18" s="26" t="n">
        <x:v>2018</x:v>
      </x:c>
      <x:c r="H18" s="17" t="str">
        <x:v>澳门LCDH</x:v>
      </x:c>
      <x:c r="I18" s="17" t="str">
        <x:v>B2</x:v>
      </x:c>
      <x:c r="J18" s="29" t="n">
        <x:v>45912.36569075232</x:v>
      </x:c>
      <x:c r="K18" s="17" t="str">
        <x:v>USD</x:v>
      </x:c>
      <x:c r="L18" s="32" t="n">
        <x:v>520</x:v>
      </x:c>
      <x:c r="M18" s="35" t="n">
        <x:v>6.766071115782099</x:v>
      </x:c>
      <x:c r="N18" s="17" t="str">
        <x:v>https://www.cigarhome.org/goods/781.html</x:v>
      </x:c>
    </x:row>
    <x:row r="19" ht="24" customHeight="1">
      <x:c r="A19" s="17" t="str">
        <x:v>富恩特</x:v>
      </x:c>
      <x:c r="B19" s="17" t="str">
        <x:v>Cubanitos</x:v>
      </x:c>
      <x:c r="C19" s="17" t="str">
        <x:v>32|102</x:v>
      </x:c>
      <x:c r="D19" s="20" t="n">
        <x:v>440</x:v>
      </x:c>
      <x:c r="E19" s="23" t="n">
        <x:v>10</x:v>
      </x:c>
      <x:c r="F19" s="17" t="str">
        <x:v>TEST-41-2-231719</x:v>
      </x:c>
      <x:c r="G19" s="26" t="n">
        <x:v>2020</x:v>
      </x:c>
      <x:c r="H19" s="17" t="str">
        <x:v>COH香港</x:v>
      </x:c>
      <x:c r="I19" s="17" t="str">
        <x:v>GW</x:v>
      </x:c>
      <x:c r="J19" s="29" t="n">
        <x:v>45439.956739305555</x:v>
      </x:c>
      <x:c r="K19" s="17" t="str">
        <x:v>HKD</x:v>
      </x:c>
      <x:c r="L19" s="32" t="n">
        <x:v>557</x:v>
      </x:c>
      <x:c r="M19" s="35" t="n">
        <x:v>0.8629433119240435</x:v>
      </x:c>
      <x:c r="N19" s="17" t="str">
        <x:v>https://hk.cohcigars.com/products/arturo-fuente-cigar-cubanitos-box-10</x:v>
      </x:c>
    </x:row>
    <x:row r="20" ht="24" customHeight="1">
      <x:c r="A20" s="17" t="str">
        <x:v>乌普曼</x:v>
      </x:c>
      <x:c r="B20" s="17" t="str">
        <x:v>Magnum 46 2008</x:v>
      </x:c>
      <x:c r="C20" s="17" t="str">
        <x:v>46|143</x:v>
      </x:c>
      <x:c r="D20" s="20" t="n">
        <x:v>15520</x:v>
      </x:c>
      <x:c r="E20" s="23" t="n">
        <x:v>25</x:v>
      </x:c>
      <x:c r="F20" s="17" t="str">
        <x:v>TEST-47-2-748703</x:v>
      </x:c>
      <x:c r="G20" s="26" t="n">
        <x:v>2008</x:v>
      </x:c>
      <x:c r="H20" s="17" t="str">
        <x:v>CigarHome香港</x:v>
      </x:c>
      <x:c r="I20" s="17" t="str">
        <x:v>TL</x:v>
      </x:c>
      <x:c r="J20" s="29" t="n">
        <x:v>44546.310976886576</x:v>
      </x:c>
      <x:c r="K20" s="17" t="str">
        <x:v>HKD</x:v>
      </x:c>
      <x:c r="L20" s="32" t="n">
        <x:v>19100</x:v>
      </x:c>
      <x:c r="M20" s="35" t="n">
        <x:v>0.8629433119240435</x:v>
      </x:c>
      <x:c r="N20" s="17" t="str">
        <x:v>https://hk.cohcigars.com/products/vintage-2008-h-upmann-magnum-46-box-25</x:v>
      </x:c>
    </x:row>
    <x:row r="21" ht="24" customHeight="1">
      <x:c r="A21" s="17" t="str">
        <x:v>多尔塞码头</x:v>
      </x:c>
      <x:c r="B21" s="17" t="str">
        <x:v>No.52</x:v>
      </x:c>
      <x:c r="C21" s="17" t="str">
        <x:v>52|156</x:v>
      </x:c>
      <x:c r="D21" s="20" t="n">
        <x:v>3140</x:v>
      </x:c>
      <x:c r="E21" s="23" t="n">
        <x:v>10</x:v>
      </x:c>
      <x:c r="F21" s="17" t="str">
        <x:v>TEST-22-1-718887</x:v>
      </x:c>
      <x:c r="G21" s="26" t="n">
        <x:v>2024</x:v>
      </x:c>
      <x:c r="H21" s="17" t="str">
        <x:v>COH香港</x:v>
      </x:c>
      <x:c r="I21" s="17" t="str">
        <x:v>M</x:v>
      </x:c>
      <x:c r="J21" s="29" t="n">
        <x:v>45516.53220204861</x:v>
      </x:c>
      <x:c r="K21" s="17" t="str">
        <x:v>HKD</x:v>
      </x:c>
      <x:c r="L21" s="32" t="n">
        <x:v>3381</x:v>
      </x:c>
      <x:c r="M21" s="35" t="n">
        <x:v>0.8629433119240435</x:v>
      </x:c>
      <x:c r="N21" s="17" t="str">
        <x:v>https://hk.cohcigars.com/products/quai-dorsay-no-52-box-10</x:v>
      </x:c>
    </x:row>
    <x:row r="22" ht="24" customHeight="1">
      <x:c r="A22" s="17" t="str">
        <x:v>帕特加斯</x:v>
      </x:c>
      <x:c r="B22" s="17" t="str">
        <x:v>超级帕特加斯</x:v>
      </x:c>
      <x:c r="C22" s="17" t="str">
        <x:v>40|140</x:v>
      </x:c>
      <x:c r="D22" s="20" t="n">
        <x:v>2880</x:v>
      </x:c>
      <x:c r="E22" s="23" t="n">
        <x:v>25</x:v>
      </x:c>
      <x:c r="F22" s="17" t="str">
        <x:v>TEST-24-1-128769</x:v>
      </x:c>
      <x:c r="G22" s="26" t="n">
        <x:v>2019</x:v>
      </x:c>
      <x:c r="H22" s="17" t="str">
        <x:v>COH香港</x:v>
      </x:c>
      <x:c r="I22" s="17" t="str">
        <x:v>TL</x:v>
      </x:c>
      <x:c r="J22" s="29" t="n">
        <x:v>44955.45489523148</x:v>
      </x:c>
      <x:c r="K22" s="17" t="str">
        <x:v>HKD</x:v>
      </x:c>
      <x:c r="L22" s="32" t="n">
        <x:v>3500</x:v>
      </x:c>
      <x:c r="M22" s="35" t="n">
        <x:v>0.8629433119240435</x:v>
      </x:c>
      <x:c r="N22" s="17" t="str">
        <x:v>https://hk.cohcigars.com/products/partagas-cigar-super-partagas-box-25</x:v>
      </x:c>
    </x:row>
    <x:row r="23" ht="24" customHeight="1">
      <x:c r="A23" s="17" t="str">
        <x:v>高希霸</x:v>
      </x:c>
      <x:c r="B23" s="17" t="str">
        <x:v>Esplendidos Gran Reserva 2017</x:v>
      </x:c>
      <x:c r="C23" s="17" t="str">
        <x:v>47|178</x:v>
      </x:c>
      <x:c r="D23" s="20" t="n">
        <x:v>11620</x:v>
      </x:c>
      <x:c r="E23" s="23" t="n">
        <x:v>2</x:v>
      </x:c>
      <x:c r="F23" s="17" t="str">
        <x:v>TEST-46-1-734569</x:v>
      </x:c>
      <x:c r="G23" s="26" t="n">
        <x:v>2017</x:v>
      </x:c>
      <x:c r="H23" s="17" t="str">
        <x:v>CigarHome香港</x:v>
      </x:c>
      <x:c r="I23" s="17" t="str">
        <x:v>GW</x:v>
      </x:c>
      <x:c r="J23" s="29" t="n">
        <x:v>45882.9454741088</x:v>
      </x:c>
      <x:c r="K23" s="17" t="str">
        <x:v>HKD</x:v>
      </x:c>
      <x:c r="L23" s="32" t="n">
        <x:v>13600</x:v>
      </x:c>
      <x:c r="M23" s="35" t="n">
        <x:v>0.8629433119240435</x:v>
      </x:c>
      <x:c r="N23" s="17" t="str">
        <x:v>https://hk.cohcigars.com/products/esplendidos-gran-reserva-cosecha-2017-box-2-cohiba-cigars</x:v>
      </x:c>
    </x:row>
    <x:row r="24" ht="24" customHeight="1">
      <x:c r="A24" s="17" t="str">
        <x:v>普拉森西亚</x:v>
      </x:c>
      <x:c r="B24" s="17" t="str">
        <x:v>Reserva Original Toro</x:v>
      </x:c>
      <x:c r="C24" s="17" t="str">
        <x:v>50|152</x:v>
      </x:c>
      <x:c r="D24" s="20" t="n">
        <x:v>1070</x:v>
      </x:c>
      <x:c r="E24" s="23" t="n">
        <x:v>10</x:v>
      </x:c>
      <x:c r="F24" s="17" t="str">
        <x:v>TEST-23-2-222223</x:v>
      </x:c>
      <x:c r="G24" s="26" t="n">
        <x:v>2020</x:v>
      </x:c>
      <x:c r="H24" s="17" t="str">
        <x:v>欧洲行货</x:v>
      </x:c>
      <x:c r="I24" s="17" t="str">
        <x:v>TL</x:v>
      </x:c>
      <x:c r="J24" s="29" t="n">
        <x:v>45997.54025818287</x:v>
      </x:c>
      <x:c r="K24" s="17" t="str">
        <x:v>HKD</x:v>
      </x:c>
      <x:c r="L24" s="32" t="n">
        <x:v>1322</x:v>
      </x:c>
      <x:c r="M24" s="35" t="n">
        <x:v>0.8629433119240435</x:v>
      </x:c>
      <x:c r="N24" s="17" t="str">
        <x:v>https://hk.cohcigars.com/products/reserva-original-toro-box-10-plasencia-cigars</x:v>
      </x:c>
    </x:row>
    <x:row r="25" ht="24" customHeight="1">
      <x:c r="A25" s="17" t="str">
        <x:v>高希霸</x:v>
      </x:c>
      <x:c r="B25" s="17" t="str">
        <x:v>Behike 15周年礼盒</x:v>
      </x:c>
      <x:c r="C25" s="17" t="str">
        <x:v>56|144</x:v>
      </x:c>
      <x:c r="D25" s="20" t="n">
        <x:v>18420</x:v>
      </x:c>
      <x:c r="E25" s="23" t="n">
        <x:v>4</x:v>
      </x:c>
      <x:c r="F25" s="17" t="str">
        <x:v>TEST-26-2-657241</x:v>
      </x:c>
      <x:c r="G25" s="26" t="n">
        <x:v>2020</x:v>
      </x:c>
      <x:c r="H25" s="17" t="str">
        <x:v>CigarHome香港</x:v>
      </x:c>
      <x:c r="I25" s="17" t="str">
        <x:v>TL</x:v>
      </x:c>
      <x:c r="J25" s="29" t="n">
        <x:v>45198.240860300924</x:v>
      </x:c>
      <x:c r="K25" s="17" t="str">
        <x:v>HKD</x:v>
      </x:c>
      <x:c r="L25" s="32" t="n">
        <x:v>19820</x:v>
      </x:c>
      <x:c r="M25" s="35" t="n">
        <x:v>0.8629433119240435</x:v>
      </x:c>
      <x:c r="N25" s="17" t="str">
        <x:v>https://hk.cohcigars.com/products/cohiba-behike-15-anniversary-gift-box-box-4-cohiba-cigars</x:v>
      </x:c>
    </x:row>
    <x:row r="26" ht="24" customHeight="1">
      <x:c r="A26" s="17" t="str">
        <x:v>潘趣</x:v>
      </x:c>
      <x:c r="B26" s="17" t="str">
        <x:v>Punch 48 LCDH</x:v>
      </x:c>
      <x:c r="C26" s="17" t="str">
        <x:v>48|140</x:v>
      </x:c>
      <x:c r="D26" s="20" t="n">
        <x:v>3390</x:v>
      </x:c>
      <x:c r="E26" s="23" t="n">
        <x:v>10</x:v>
      </x:c>
      <x:c r="F26" s="17" t="str">
        <x:v>TEST-27-1-777402</x:v>
      </x:c>
      <x:c r="G26" s="26" t="n">
        <x:v>2026</x:v>
      </x:c>
      <x:c r="H26" s="17" t="str">
        <x:v>欧洲行货</x:v>
      </x:c>
      <x:c r="I26" s="17" t="str">
        <x:v>TL</x:v>
      </x:c>
      <x:c r="J26" s="29" t="n">
        <x:v>45720.1702905787</x:v>
      </x:c>
      <x:c r="K26" s="17" t="str">
        <x:v>HKD</x:v>
      </x:c>
      <x:c r="L26" s="32" t="n">
        <x:v>3650</x:v>
      </x:c>
      <x:c r="M26" s="35" t="n">
        <x:v>0.8629433119240435</x:v>
      </x:c>
      <x:c r="N26" s="17" t="str">
        <x:v>https://hk.cohcigars.com/products/punch-cigar-punch-48-box-10</x:v>
      </x:c>
    </x:row>
    <x:row r="27" ht="24" customHeight="1">
      <x:c r="A27" s="17" t="str">
        <x:v>乌普曼</x:v>
      </x:c>
      <x:c r="B27" s="17" t="str">
        <x:v>特许</x:v>
      </x:c>
      <x:c r="C27" s="17" t="str">
        <x:v>42|129</x:v>
      </x:c>
      <x:c r="D27" s="20" t="n">
        <x:v>2760</x:v>
      </x:c>
      <x:c r="E27" s="23" t="n">
        <x:v>25</x:v>
      </x:c>
      <x:c r="F27" s="17" t="str">
        <x:v>TEST-05-2-508499</x:v>
      </x:c>
      <x:c r="G27" s="26" t="n">
        <x:v>2022</x:v>
      </x:c>
      <x:c r="H27" s="17" t="str">
        <x:v>英国EMS</x:v>
      </x:c>
      <x:c r="I27" s="17" t="str">
        <x:v>A1</x:v>
      </x:c>
      <x:c r="J27" s="29" t="n">
        <x:v>45884.00585414352</x:v>
      </x:c>
      <x:c r="K27" s="17" t="str">
        <x:v>USD</x:v>
      </x:c>
      <x:c r="L27" s="32" t="n">
        <x:v>420</x:v>
      </x:c>
      <x:c r="M27" s="35" t="n">
        <x:v>6.766071115782099</x:v>
      </x:c>
      <x:c r="N27" s="17" t="str">
        <x:v>https://www.cigarhome.org/goods/232.html</x:v>
      </x:c>
    </x:row>
    <x:row r="28" ht="24" customHeight="1">
      <x:c r="A28" s="17" t="str">
        <x:v>大卫杜夫</x:v>
      </x:c>
      <x:c r="B28" s="17" t="str">
        <x:v>Signature Toro</x:v>
      </x:c>
      <x:c r="C28" s="17" t="str">
        <x:v>54|152</x:v>
      </x:c>
      <x:c r="D28" s="20" t="n">
        <x:v>6480</x:v>
      </x:c>
      <x:c r="E28" s="23" t="n">
        <x:v>25</x:v>
      </x:c>
      <x:c r="F28" s="17" t="str">
        <x:v>TEST-37-2-354613</x:v>
      </x:c>
      <x:c r="G28" s="26" t="n">
        <x:v>2023</x:v>
      </x:c>
      <x:c r="H28" s="17" t="str">
        <x:v>CigarHome香港</x:v>
      </x:c>
      <x:c r="I28" s="17" t="str">
        <x:v>B2</x:v>
      </x:c>
      <x:c r="J28" s="29" t="n">
        <x:v>45034.499574849535</x:v>
      </x:c>
      <x:c r="K28" s="17" t="str">
        <x:v>HKD</x:v>
      </x:c>
      <x:c r="L28" s="32" t="n">
        <x:v>7363</x:v>
      </x:c>
      <x:c r="M28" s="35" t="n">
        <x:v>0.8629433119240435</x:v>
      </x:c>
      <x:c r="N28" s="17" t="str">
        <x:v>https://hk.cohcigars.com/products/davidoff-cigar-signature-toro-box-25</x:v>
      </x:c>
    </x:row>
    <x:row r="29" ht="24" customHeight="1">
      <x:c r="A29" s="17" t="str">
        <x:v>大卫杜夫</x:v>
      </x:c>
      <x:c r="B29" s="17" t="str">
        <x:v>香港限定</x:v>
      </x:c>
      <x:c r="C29" s="17" t="str">
        <x:v>52|140</x:v>
      </x:c>
      <x:c r="D29" s="20" t="n">
        <x:v>2950</x:v>
      </x:c>
      <x:c r="E29" s="23" t="n">
        <x:v>10</x:v>
      </x:c>
      <x:c r="F29" s="17" t="str">
        <x:v>TEST-40-1-604550</x:v>
      </x:c>
      <x:c r="G29" s="26" t="n">
        <x:v>2018</x:v>
      </x:c>
      <x:c r="H29" s="17" t="str">
        <x:v>欧洲行货</x:v>
      </x:c>
      <x:c r="I29" s="17" t="str">
        <x:v>M</x:v>
      </x:c>
      <x:c r="J29" s="29" t="n">
        <x:v>45898.01735210648</x:v>
      </x:c>
      <x:c r="K29" s="17" t="str">
        <x:v>HKD</x:v>
      </x:c>
      <x:c r="L29" s="32" t="n">
        <x:v>3550</x:v>
      </x:c>
      <x:c r="M29" s="35" t="n">
        <x:v>0.8629433119240435</x:v>
      </x:c>
      <x:c r="N29" s="17" t="str">
        <x:v>https://hk.cohcigars.com/products/davidoff-cigar-exclusive-hong-kong-box-10</x:v>
      </x:c>
    </x:row>
    <x:row r="30" ht="24" customHeight="1">
      <x:c r="A30" s="17" t="str">
        <x:v>蒙特克里斯托</x:v>
      </x:c>
      <x:c r="B30" s="17" t="str">
        <x:v>4号</x:v>
      </x:c>
      <x:c r="C30" s="17" t="str">
        <x:v>42|129</x:v>
      </x:c>
      <x:c r="D30" s="20" t="n">
        <x:v>3830</x:v>
      </x:c>
      <x:c r="E30" s="23" t="n">
        <x:v>25</x:v>
      </x:c>
      <x:c r="F30" s="17" t="str">
        <x:v>TEST-16-1-133985</x:v>
      </x:c>
      <x:c r="G30" s="26" t="n">
        <x:v>2021</x:v>
      </x:c>
      <x:c r="H30" s="17" t="str">
        <x:v>CigarHome香港</x:v>
      </x:c>
      <x:c r="I30" s="17" t="str">
        <x:v>GW</x:v>
      </x:c>
      <x:c r="J30" s="29" t="n">
        <x:v>44863.81293114583</x:v>
      </x:c>
      <x:c r="K30" s="17" t="str">
        <x:v>USD</x:v>
      </x:c>
      <x:c r="L30" s="32" t="n">
        <x:v>580</x:v>
      </x:c>
      <x:c r="M30" s="35" t="n">
        <x:v>6.766071115782099</x:v>
      </x:c>
      <x:c r="N30" s="17" t="str">
        <x:v>https://www.cigarhome.org/goods/213.html</x:v>
      </x:c>
    </x:row>
    <x:row r="31" ht="24" customHeight="1">
      <x:c r="A31" s="17" t="str">
        <x:v>圣克里斯托</x:v>
      </x:c>
      <x:c r="B31" s="17" t="str">
        <x:v>王子</x:v>
      </x:c>
      <x:c r="C31" s="17" t="str">
        <x:v>42|110</x:v>
      </x:c>
      <x:c r="D31" s="20" t="n">
        <x:v>2620</x:v>
      </x:c>
      <x:c r="E31" s="23" t="n">
        <x:v>25</x:v>
      </x:c>
      <x:c r="F31" s="17" t="str">
        <x:v>TEST-20-2-380598</x:v>
      </x:c>
      <x:c r="G31" s="26" t="n">
        <x:v>2022</x:v>
      </x:c>
      <x:c r="H31" s="17" t="str">
        <x:v>欧洲行货</x:v>
      </x:c>
      <x:c r="I31" s="17" t="str">
        <x:v>TL</x:v>
      </x:c>
      <x:c r="J31" s="29" t="n">
        <x:v>45861.982060497685</x:v>
      </x:c>
      <x:c r="K31" s="17" t="str">
        <x:v>USD</x:v>
      </x:c>
      <x:c r="L31" s="32" t="n">
        <x:v>380</x:v>
      </x:c>
      <x:c r="M31" s="35" t="n">
        <x:v>6.766071115782099</x:v>
      </x:c>
      <x:c r="N31" s="17" t="str">
        <x:v>https://www.cigarhome.org/goods/126.html</x:v>
      </x:c>
    </x:row>
    <x:row r="32" ht="24" customHeight="1">
      <x:c r="A32" s="17" t="str">
        <x:v>罗密欧与朱丽叶</x:v>
      </x:c>
      <x:c r="B32" s="17" t="str">
        <x:v>短丘吉尔</x:v>
      </x:c>
      <x:c r="C32" s="17" t="str">
        <x:v>50|124</x:v>
      </x:c>
      <x:c r="D32" s="20" t="n">
        <x:v>6580</x:v>
      </x:c>
      <x:c r="E32" s="23" t="n">
        <x:v>25</x:v>
      </x:c>
      <x:c r="F32" s="17" t="str">
        <x:v>TEST-17-1-224766</x:v>
      </x:c>
      <x:c r="G32" s="26" t="n">
        <x:v>2018</x:v>
      </x:c>
      <x:c r="H32" s="17" t="str">
        <x:v>英国EMS</x:v>
      </x:c>
      <x:c r="I32" s="17" t="str">
        <x:v>TL</x:v>
      </x:c>
      <x:c r="J32" s="29" t="n">
        <x:v>46083.85429993056</x:v>
      </x:c>
      <x:c r="K32" s="17" t="str">
        <x:v>USD</x:v>
      </x:c>
      <x:c r="L32" s="32" t="n">
        <x:v>920</x:v>
      </x:c>
      <x:c r="M32" s="35" t="n">
        <x:v>6.766071115782099</x:v>
      </x:c>
      <x:c r="N32" s="17" t="str">
        <x:v>https://www.cigarhome.org/goods/350.html</x:v>
      </x:c>
    </x:row>
    <x:row r="33" ht="24" customHeight="1">
      <x:c r="A33" s="17" t="str">
        <x:v>帕特加斯</x:v>
      </x:c>
      <x:c r="B33" s="17" t="str">
        <x:v>贵族</x:v>
      </x:c>
      <x:c r="C33" s="17" t="str">
        <x:v>40|129</x:v>
      </x:c>
      <x:c r="D33" s="20" t="n">
        <x:v>2320</x:v>
      </x:c>
      <x:c r="E33" s="23" t="n">
        <x:v>25</x:v>
      </x:c>
      <x:c r="F33" s="17" t="str">
        <x:v>TEST-10-2-948901</x:v>
      </x:c>
      <x:c r="G33" s="26" t="n">
        <x:v>2019</x:v>
      </x:c>
      <x:c r="H33" s="17" t="str">
        <x:v>澳门LCDH</x:v>
      </x:c>
      <x:c r="I33" s="17" t="str">
        <x:v>B2</x:v>
      </x:c>
      <x:c r="J33" s="29" t="n">
        <x:v>45094.92509822916</x:v>
      </x:c>
      <x:c r="K33" s="17" t="str">
        <x:v>USD</x:v>
      </x:c>
      <x:c r="L33" s="32" t="n">
        <x:v>330</x:v>
      </x:c>
      <x:c r="M33" s="35" t="n">
        <x:v>6.766071115782099</x:v>
      </x:c>
      <x:c r="N33" s="17" t="str">
        <x:v>https://www.cigarhome.org/goods/277.html</x:v>
      </x:c>
    </x:row>
    <x:row r="34" ht="24" customHeight="1">
      <x:c r="A34" s="17" t="str">
        <x:v>拉斐尔冈萨雷斯</x:v>
      </x:c>
      <x:c r="B34" s="17" t="str">
        <x:v>Perlas</x:v>
      </x:c>
      <x:c r="C34" s="17" t="str">
        <x:v>40|102</x:v>
      </x:c>
      <x:c r="D34" s="20" t="n">
        <x:v>2050</x:v>
      </x:c>
      <x:c r="E34" s="23" t="n">
        <x:v>25</x:v>
      </x:c>
      <x:c r="F34" s="17" t="str">
        <x:v>TEST-30-1-450683</x:v>
      </x:c>
      <x:c r="G34" s="26" t="n">
        <x:v>2025</x:v>
      </x:c>
      <x:c r="H34" s="17" t="str">
        <x:v>CigarHome香港</x:v>
      </x:c>
      <x:c r="I34" s="17" t="str">
        <x:v>TL</x:v>
      </x:c>
      <x:c r="J34" s="29" t="n">
        <x:v>44573.80667556713</x:v>
      </x:c>
      <x:c r="K34" s="17" t="str">
        <x:v>HKD</x:v>
      </x:c>
      <x:c r="L34" s="32" t="n">
        <x:v>2487</x:v>
      </x:c>
      <x:c r="M34" s="35" t="n">
        <x:v>0.8629433119240435</x:v>
      </x:c>
      <x:c r="N34" s="17" t="str">
        <x:v>https://hk.cohcigars.com/products/rafael-gonzalez-cigar-perlas-box-25</x:v>
      </x:c>
    </x:row>
    <x:row r="35" ht="24" customHeight="1">
      <x:c r="A35" s="17" t="str">
        <x:v>帕特加斯</x:v>
      </x:c>
      <x:c r="B35" s="17" t="str">
        <x:v>D4</x:v>
      </x:c>
      <x:c r="C35" s="17" t="str">
        <x:v>50|124</x:v>
      </x:c>
      <x:c r="D35" s="20" t="n">
        <x:v>5960</x:v>
      </x:c>
      <x:c r="E35" s="23" t="n">
        <x:v>25</x:v>
      </x:c>
      <x:c r="F35" s="17" t="str">
        <x:v>TEST-08-2-189164</x:v>
      </x:c>
      <x:c r="G35" s="26" t="n">
        <x:v>2020</x:v>
      </x:c>
      <x:c r="H35" s="17" t="str">
        <x:v>英国EMS</x:v>
      </x:c>
      <x:c r="I35" s="17" t="str">
        <x:v>B2</x:v>
      </x:c>
      <x:c r="J35" s="29" t="n">
        <x:v>45647.28161189815</x:v>
      </x:c>
      <x:c r="K35" s="17" t="str">
        <x:v>USD</x:v>
      </x:c>
      <x:c r="L35" s="32" t="n">
        <x:v>850</x:v>
      </x:c>
      <x:c r="M35" s="35" t="n">
        <x:v>6.766071115782099</x:v>
      </x:c>
      <x:c r="N35" s="17" t="str">
        <x:v>https://www.cigarhome.org/goods/260.html</x:v>
      </x:c>
    </x:row>
    <x:row r="36" ht="24" customHeight="1">
      <x:c r="A36" s="17" t="str">
        <x:v>罗密欧与朱丽叶</x:v>
      </x:c>
      <x:c r="B36" s="17" t="str">
        <x:v>宽丘吉尔珍藏 2009</x:v>
      </x:c>
      <x:c r="C36" s="17" t="str">
        <x:v>55|130</x:v>
      </x:c>
      <x:c r="D36" s="20" t="n">
        <x:v>52460</x:v>
      </x:c>
      <x:c r="E36" s="23" t="n">
        <x:v>15</x:v>
      </x:c>
      <x:c r="F36" s="17" t="str">
        <x:v>TEST-33-1-183938</x:v>
      </x:c>
      <x:c r="G36" s="26" t="n">
        <x:v>2009</x:v>
      </x:c>
      <x:c r="H36" s="17" t="str">
        <x:v>英国EMS</x:v>
      </x:c>
      <x:c r="I36" s="17" t="str">
        <x:v>GW</x:v>
      </x:c>
      <x:c r="J36" s="29" t="n">
        <x:v>45002.79919913194</x:v>
      </x:c>
      <x:c r="K36" s="17" t="str">
        <x:v>HKD</x:v>
      </x:c>
      <x:c r="L36" s="32" t="n">
        <x:v>59600</x:v>
      </x:c>
      <x:c r="M36" s="35" t="n">
        <x:v>0.8629433119240435</x:v>
      </x:c>
      <x:c r="N36" s="17" t="str">
        <x:v>https://hk.cohcigars.com/products/romeo-y-julieta-cigar-15-wide-churchills-gran-reserva-cosecha-2009-box-15</x:v>
      </x:c>
    </x:row>
    <x:row r="37" ht="24" customHeight="1">
      <x:c r="A37" s="17" t="str">
        <x:v>罗密欧与朱丽叶</x:v>
      </x:c>
      <x:c r="B37" s="17" t="str">
        <x:v>运动员</x:v>
      </x:c>
      <x:c r="C37" s="17" t="str">
        <x:v>35|117</x:v>
      </x:c>
      <x:c r="D37" s="20" t="n">
        <x:v>1920</x:v>
      </x:c>
      <x:c r="E37" s="23" t="n">
        <x:v>25</x:v>
      </x:c>
      <x:c r="F37" s="17" t="str">
        <x:v>TEST-13-1-351645</x:v>
      </x:c>
      <x:c r="G37" s="26" t="n">
        <x:v>2019</x:v>
      </x:c>
      <x:c r="H37" s="17" t="str">
        <x:v>欧洲行货</x:v>
      </x:c>
      <x:c r="I37" s="17" t="str">
        <x:v>TL</x:v>
      </x:c>
      <x:c r="J37" s="29" t="n">
        <x:v>45526.67586236111</x:v>
      </x:c>
      <x:c r="K37" s="17" t="str">
        <x:v>USD</x:v>
      </x:c>
      <x:c r="L37" s="32" t="n">
        <x:v>300</x:v>
      </x:c>
      <x:c r="M37" s="35" t="n">
        <x:v>6.766071115782099</x:v>
      </x:c>
      <x:c r="N37" s="17" t="str">
        <x:v>https://www.cigarhome.org/goods/324.html</x:v>
      </x:c>
    </x:row>
    <x:row r="38" ht="24" customHeight="1">
      <x:c r="A38" s="17" t="str">
        <x:v>高希霸</x:v>
      </x:c>
      <x:c r="B38" s="17" t="str">
        <x:v>Esplendidos Gran Reserva 2017</x:v>
      </x:c>
      <x:c r="C38" s="17" t="str">
        <x:v>47|178</x:v>
      </x:c>
      <x:c r="D38" s="20" t="n">
        <x:v>12120</x:v>
      </x:c>
      <x:c r="E38" s="23" t="n">
        <x:v>2</x:v>
      </x:c>
      <x:c r="F38" s="17" t="str">
        <x:v>TEST-46-2-463013</x:v>
      </x:c>
      <x:c r="G38" s="26" t="n">
        <x:v>2017</x:v>
      </x:c>
      <x:c r="H38" s="17" t="str">
        <x:v>香港PCC</x:v>
      </x:c>
      <x:c r="I38" s="17" t="str">
        <x:v>A1</x:v>
      </x:c>
      <x:c r="J38" s="29" t="n">
        <x:v>46137.432764398145</x:v>
      </x:c>
      <x:c r="K38" s="17" t="str">
        <x:v>HKD</x:v>
      </x:c>
      <x:c r="L38" s="32" t="n">
        <x:v>13600</x:v>
      </x:c>
      <x:c r="M38" s="35" t="n">
        <x:v>0.8629433119240435</x:v>
      </x:c>
      <x:c r="N38" s="17" t="str">
        <x:v>https://hk.cohcigars.com/products/esplendidos-gran-reserva-cosecha-2017-box-2-cohiba-cigars</x:v>
      </x:c>
    </x:row>
    <x:row r="39" ht="24" customHeight="1">
      <x:c r="A39" s="17" t="str">
        <x:v>罗密欧与朱丽叶</x:v>
      </x:c>
      <x:c r="B39" s="17" t="str">
        <x:v>宽丘吉尔珍藏 2009</x:v>
      </x:c>
      <x:c r="C39" s="17" t="str">
        <x:v>55|130</x:v>
      </x:c>
      <x:c r="D39" s="20" t="n">
        <x:v>47670</x:v>
      </x:c>
      <x:c r="E39" s="23" t="n">
        <x:v>15</x:v>
      </x:c>
      <x:c r="F39" s="17" t="str">
        <x:v>TEST-33-2-743810</x:v>
      </x:c>
      <x:c r="G39" s="26" t="n">
        <x:v>2009</x:v>
      </x:c>
      <x:c r="H39" s="17" t="str">
        <x:v>香港PCC</x:v>
      </x:c>
      <x:c r="I39" s="17" t="str">
        <x:v>A1</x:v>
      </x:c>
      <x:c r="J39" s="29" t="n">
        <x:v>46207.746456898145</x:v>
      </x:c>
      <x:c r="K39" s="17" t="str">
        <x:v>HKD</x:v>
      </x:c>
      <x:c r="L39" s="32" t="n">
        <x:v>59600</x:v>
      </x:c>
      <x:c r="M39" s="35" t="n">
        <x:v>0.8629433119240435</x:v>
      </x:c>
      <x:c r="N39" s="17" t="str">
        <x:v>https://hk.cohcigars.com/products/romeo-y-julieta-cigar-15-wide-churchills-gran-reserva-cosecha-2009-box-15</x:v>
      </x:c>
    </x:row>
    <x:row r="40" ht="24" customHeight="1">
      <x:c r="A40" s="17" t="str">
        <x:v>比雅达</x:v>
      </x:c>
      <x:c r="B40" s="17" t="str">
        <x:v>Cremas</x:v>
      </x:c>
      <x:c r="C40" s="17" t="str">
        <x:v>40|136</x:v>
      </x:c>
      <x:c r="D40" s="20" t="n">
        <x:v>1510</x:v>
      </x:c>
      <x:c r="E40" s="23" t="n">
        <x:v>25</x:v>
      </x:c>
      <x:c r="F40" s="17" t="str">
        <x:v>TEST-28-2-838469</x:v>
      </x:c>
      <x:c r="G40" s="26" t="n">
        <x:v>2025</x:v>
      </x:c>
      <x:c r="H40" s="17" t="str">
        <x:v>欧洲行货</x:v>
      </x:c>
      <x:c r="I40" s="17" t="str">
        <x:v>A1</x:v>
      </x:c>
      <x:c r="J40" s="29" t="n">
        <x:v>45002.56302650463</x:v>
      </x:c>
      <x:c r="K40" s="17" t="str">
        <x:v>HKD</x:v>
      </x:c>
      <x:c r="L40" s="32" t="n">
        <x:v>1820</x:v>
      </x:c>
      <x:c r="M40" s="35" t="n">
        <x:v>0.8629433119240435</x:v>
      </x:c>
      <x:c r="N40" s="17" t="str">
        <x:v>https://hk.cohcigars.com/products/jose-l-piedra-cigar-cremas-box-25</x:v>
      </x:c>
    </x:row>
    <x:row r="41" ht="24" customHeight="1">
      <x:c r="A41" s="17" t="str">
        <x:v>帕特加斯</x:v>
      </x:c>
      <x:c r="B41" s="17" t="str">
        <x:v>短帕</x:v>
      </x:c>
      <x:c r="C41" s="17" t="str">
        <x:v>42|110</x:v>
      </x:c>
      <x:c r="D41" s="20" t="n">
        <x:v>2780</x:v>
      </x:c>
      <x:c r="E41" s="23" t="n">
        <x:v>25</x:v>
      </x:c>
      <x:c r="F41" s="17" t="str">
        <x:v>TEST-07-2-252836</x:v>
      </x:c>
      <x:c r="G41" s="26" t="n">
        <x:v>2026</x:v>
      </x:c>
      <x:c r="H41" s="17" t="str">
        <x:v>COH香港</x:v>
      </x:c>
      <x:c r="I41" s="17" t="str">
        <x:v>M</x:v>
      </x:c>
      <x:c r="J41" s="29" t="n">
        <x:v>45672.373163171294</x:v>
      </x:c>
      <x:c r="K41" s="17" t="str">
        <x:v>USD</x:v>
      </x:c>
      <x:c r="L41" s="32" t="n">
        <x:v>400</x:v>
      </x:c>
      <x:c r="M41" s="35" t="n">
        <x:v>6.766071115782099</x:v>
      </x:c>
      <x:c r="N41" s="17" t="str">
        <x:v>https://www.cigarhome.org/goods/262.html</x:v>
      </x:c>
    </x:row>
    <x:row r="42" ht="24" customHeight="1">
      <x:c r="A42" s="17" t="str">
        <x:v>大卫杜夫</x:v>
      </x:c>
      <x:c r="B42" s="17" t="str">
        <x:v>Yamasa Piramides</x:v>
      </x:c>
      <x:c r="C42" s="17" t="str">
        <x:v>52|156</x:v>
      </x:c>
      <x:c r="D42" s="20" t="n">
        <x:v>3840</x:v>
      </x:c>
      <x:c r="E42" s="23" t="n">
        <x:v>12</x:v>
      </x:c>
      <x:c r="F42" s="17" t="str">
        <x:v>TEST-35-2-156656</x:v>
      </x:c>
      <x:c r="G42" s="26" t="n">
        <x:v>2023</x:v>
      </x:c>
      <x:c r="H42" s="17" t="str">
        <x:v>澳门LCDH</x:v>
      </x:c>
      <x:c r="I42" s="17" t="str">
        <x:v>M</x:v>
      </x:c>
      <x:c r="J42" s="29" t="n">
        <x:v>44425.72088851852</x:v>
      </x:c>
      <x:c r="K42" s="17" t="str">
        <x:v>HKD</x:v>
      </x:c>
      <x:c r="L42" s="32" t="n">
        <x:v>4223</x:v>
      </x:c>
      <x:c r="M42" s="35" t="n">
        <x:v>0.8629433119240435</x:v>
      </x:c>
      <x:c r="N42" s="17" t="str">
        <x:v>https://hk.cohcigars.com/products/davidoff-cigar-yamasa-piramides-box-12</x:v>
      </x:c>
    </x:row>
    <x:row r="43" ht="24" customHeight="1">
      <x:c r="A43" s="17" t="str">
        <x:v>E.P.卡里略</x:v>
      </x:c>
      <x:c r="B43" s="17" t="str">
        <x:v>Encore Majestic</x:v>
      </x:c>
      <x:c r="C43" s="17" t="str">
        <x:v>52|137</x:v>
      </x:c>
      <x:c r="D43" s="20" t="n">
        <x:v>2700</x:v>
      </x:c>
      <x:c r="E43" s="23" t="n">
        <x:v>20</x:v>
      </x:c>
      <x:c r="F43" s="17" t="str">
        <x:v>TEST-21-2-267189</x:v>
      </x:c>
      <x:c r="G43" s="26" t="n">
        <x:v>2022</x:v>
      </x:c>
      <x:c r="H43" s="17" t="str">
        <x:v>欧洲行货</x:v>
      </x:c>
      <x:c r="I43" s="17" t="str">
        <x:v>B2</x:v>
      </x:c>
      <x:c r="J43" s="29" t="n">
        <x:v>45130.42765005787</x:v>
      </x:c>
      <x:c r="K43" s="17" t="str">
        <x:v>HKD</x:v>
      </x:c>
      <x:c r="L43" s="32" t="n">
        <x:v>3070</x:v>
      </x:c>
      <x:c r="M43" s="35" t="n">
        <x:v>0.8629433119240435</x:v>
      </x:c>
      <x:c r="N43" s="17" t="str">
        <x:v>https://hk.cohcigars.com/products/e-p-carrillo-encore-majestic-5-38x52-box-of-20</x:v>
      </x:c>
    </x:row>
    <x:row r="44" ht="24" customHeight="1">
      <x:c r="A44" s="17" t="str">
        <x:v>圣克里斯托</x:v>
      </x:c>
      <x:c r="B44" s="17" t="str">
        <x:v>20周年纪念版</x:v>
      </x:c>
      <x:c r="C44" s="17" t="str">
        <x:v>52|140</x:v>
      </x:c>
      <x:c r="D44" s="20" t="n">
        <x:v>14960</x:v>
      </x:c>
      <x:c r="E44" s="23" t="n">
        <x:v>20</x:v>
      </x:c>
      <x:c r="F44" s="17" t="str">
        <x:v>TEST-34-1-708973</x:v>
      </x:c>
      <x:c r="G44" s="26" t="n">
        <x:v>2026</x:v>
      </x:c>
      <x:c r="H44" s="17" t="str">
        <x:v>CigarHome香港</x:v>
      </x:c>
      <x:c r="I44" s="17" t="str">
        <x:v>TL</x:v>
      </x:c>
      <x:c r="J44" s="29" t="n">
        <x:v>46082.27092355324</x:v>
      </x:c>
      <x:c r="K44" s="17" t="str">
        <x:v>HKD</x:v>
      </x:c>
      <x:c r="L44" s="32" t="n">
        <x:v>18500</x:v>
      </x:c>
      <x:c r="M44" s="35" t="n">
        <x:v>0.8629433119240435</x:v>
      </x:c>
      <x:c r="N44" s="17" t="str">
        <x:v>https://hk.cohcigars.com/products/san-cristobal-de-la-habana-cigar-20-aniversario-box-20</x:v>
      </x:c>
    </x:row>
    <x:row r="45" ht="24" customHeight="1">
      <x:c r="A45" s="17" t="str">
        <x:v>富恩特</x:v>
      </x:c>
      <x:c r="B45" s="17" t="str">
        <x:v>Cubanitos</x:v>
      </x:c>
      <x:c r="C45" s="17" t="str">
        <x:v>32|102</x:v>
      </x:c>
      <x:c r="D45" s="20" t="n">
        <x:v>460</x:v>
      </x:c>
      <x:c r="E45" s="23" t="n">
        <x:v>10</x:v>
      </x:c>
      <x:c r="F45" s="17" t="str">
        <x:v>TEST-41-1-300525</x:v>
      </x:c>
      <x:c r="G45" s="26" t="n">
        <x:v>2021</x:v>
      </x:c>
      <x:c r="H45" s="17" t="str">
        <x:v>COH香港</x:v>
      </x:c>
      <x:c r="I45" s="17" t="str">
        <x:v>TL</x:v>
      </x:c>
      <x:c r="J45" s="29" t="n">
        <x:v>45564.67361924768</x:v>
      </x:c>
      <x:c r="K45" s="17" t="str">
        <x:v>HKD</x:v>
      </x:c>
      <x:c r="L45" s="32" t="n">
        <x:v>557</x:v>
      </x:c>
      <x:c r="M45" s="35" t="n">
        <x:v>0.8629433119240435</x:v>
      </x:c>
      <x:c r="N45" s="17" t="str">
        <x:v>https://hk.cohcigars.com/products/arturo-fuente-cigar-cubanitos-box-10</x:v>
      </x:c>
    </x:row>
    <x:row r="46" ht="24" customHeight="1">
      <x:c r="A46" s="17" t="str">
        <x:v>库阿巴</x:v>
      </x:c>
      <x:c r="B46" s="17" t="str">
        <x:v>杰出</x:v>
      </x:c>
      <x:c r="C46" s="17" t="str">
        <x:v>52|162</x:v>
      </x:c>
      <x:c r="D46" s="20" t="n">
        <x:v>3980</x:v>
      </x:c>
      <x:c r="E46" s="23" t="n">
        <x:v>10</x:v>
      </x:c>
      <x:c r="F46" s="17" t="str">
        <x:v>TEST-12-2-418822</x:v>
      </x:c>
      <x:c r="G46" s="26" t="n">
        <x:v>2024</x:v>
      </x:c>
      <x:c r="H46" s="17" t="str">
        <x:v>COH香港</x:v>
      </x:c>
      <x:c r="I46" s="17" t="str">
        <x:v>M</x:v>
      </x:c>
      <x:c r="J46" s="29" t="n">
        <x:v>45635.25189777778</x:v>
      </x:c>
      <x:c r="K46" s="17" t="str">
        <x:v>USD</x:v>
      </x:c>
      <x:c r="L46" s="32" t="n">
        <x:v>560</x:v>
      </x:c>
      <x:c r="M46" s="35" t="n">
        <x:v>6.766071115782099</x:v>
      </x:c>
      <x:c r="N46" s="17" t="str">
        <x:v>https://www.cigarhome.org/goods/91.html</x:v>
      </x:c>
    </x:row>
    <x:row r="47" ht="24" customHeight="1">
      <x:c r="A47" s="17" t="str">
        <x:v>高希霸</x:v>
      </x:c>
      <x:c r="B47" s="17" t="str">
        <x:v>55周年限量版</x:v>
      </x:c>
      <x:c r="C47" s="17" t="str">
        <x:v>57|150</x:v>
      </x:c>
      <x:c r="D47" s="20" t="n">
        <x:v>26110</x:v>
      </x:c>
      <x:c r="E47" s="23" t="n">
        <x:v>10</x:v>
      </x:c>
      <x:c r="F47" s="17" t="str">
        <x:v>TEST-02-1-445663</x:v>
      </x:c>
      <x:c r="G47" s="26" t="n">
        <x:v>2020</x:v>
      </x:c>
      <x:c r="H47" s="17" t="str">
        <x:v>英国EMS</x:v>
      </x:c>
      <x:c r="I47" s="17" t="str">
        <x:v>TL</x:v>
      </x:c>
      <x:c r="J47" s="29" t="n">
        <x:v>45467.07846519676</x:v>
      </x:c>
      <x:c r="K47" s="17" t="str">
        <x:v>USD</x:v>
      </x:c>
      <x:c r="L47" s="32" t="n">
        <x:v>4100</x:v>
      </x:c>
      <x:c r="M47" s="35" t="n">
        <x:v>6.766071115782099</x:v>
      </x:c>
      <x:c r="N47" s="17" t="str">
        <x:v>https://www.cigarhome.org/goods/517.html</x:v>
      </x:c>
    </x:row>
    <x:row r="48" ht="24" customHeight="1">
      <x:c r="A48" s="17" t="str">
        <x:v>外交官</x:v>
      </x:c>
      <x:c r="B48" s="17" t="str">
        <x:v>Grandes 德国地区版 2021</x:v>
      </x:c>
      <x:c r="C48" s="17" t="str">
        <x:v>54|156</x:v>
      </x:c>
      <x:c r="D48" s="20" t="n">
        <x:v>20590</x:v>
      </x:c>
      <x:c r="E48" s="23" t="n">
        <x:v>25</x:v>
      </x:c>
      <x:c r="F48" s="17" t="str">
        <x:v>TEST-38-2-389416</x:v>
      </x:c>
      <x:c r="G48" s="26" t="n">
        <x:v>2021</x:v>
      </x:c>
      <x:c r="H48" s="17" t="str">
        <x:v>英国EMS</x:v>
      </x:c>
      <x:c r="I48" s="17" t="str">
        <x:v>TL</x:v>
      </x:c>
      <x:c r="J48" s="29" t="n">
        <x:v>45479.85694646991</x:v>
      </x:c>
      <x:c r="K48" s="17" t="str">
        <x:v>HKD</x:v>
      </x:c>
      <x:c r="L48" s="32" t="n">
        <x:v>22800</x:v>
      </x:c>
      <x:c r="M48" s="35" t="n">
        <x:v>0.8629433119240435</x:v>
      </x:c>
      <x:c r="N48" s="17" t="str">
        <x:v>https://hk.cohcigars.com/products/grandes-er-alemania-2021-box-25-diplomaticos-cigars</x:v>
      </x:c>
    </x:row>
    <x:row r="49" ht="24" customHeight="1">
      <x:c r="A49" s="17" t="str">
        <x:v>古巴荣耀</x:v>
      </x:c>
      <x:c r="B49" s="17" t="str">
        <x:v>Medaille d’Or No.3 2002</x:v>
      </x:c>
      <x:c r="C49" s="17" t="str">
        <x:v>28|175</x:v>
      </x:c>
      <x:c r="D49" s="20" t="n">
        <x:v>12840</x:v>
      </x:c>
      <x:c r="E49" s="23" t="n">
        <x:v>10</x:v>
      </x:c>
      <x:c r="F49" s="17" t="str">
        <x:v>TEST-43-1-302921</x:v>
      </x:c>
      <x:c r="G49" s="26" t="n">
        <x:v>2002</x:v>
      </x:c>
      <x:c r="H49" s="17" t="str">
        <x:v>澳门LCDH</x:v>
      </x:c>
      <x:c r="I49" s="17" t="str">
        <x:v>M</x:v>
      </x:c>
      <x:c r="J49" s="29" t="n">
        <x:v>44789.13776078704</x:v>
      </x:c>
      <x:c r="K49" s="17" t="str">
        <x:v>HKD</x:v>
      </x:c>
      <x:c r="L49" s="32" t="n">
        <x:v>15800</x:v>
      </x:c>
      <x:c r="M49" s="35" t="n">
        <x:v>0.8629433119240435</x:v>
      </x:c>
      <x:c r="N49" s="17" t="str">
        <x:v>https://hk.cohcigars.com/products/la-gloria-cubana-cigar-medaille-dor-no-3-box-10</x:v>
      </x:c>
    </x:row>
    <x:row r="50" ht="24" customHeight="1">
      <x:c r="A50" s="17" t="str">
        <x:v>玻利瓦尔</x:v>
      </x:c>
      <x:c r="B50" s="17" t="str">
        <x:v>Coronas Gigantes 2008</x:v>
      </x:c>
      <x:c r="C50" s="17" t="str">
        <x:v>47|178</x:v>
      </x:c>
      <x:c r="D50" s="20" t="n">
        <x:v>62140</x:v>
      </x:c>
      <x:c r="E50" s="23" t="n">
        <x:v>50</x:v>
      </x:c>
      <x:c r="F50" s="17" t="str">
        <x:v>TEST-44-1-348452</x:v>
      </x:c>
      <x:c r="G50" s="26" t="n">
        <x:v>2008</x:v>
      </x:c>
      <x:c r="H50" s="17" t="str">
        <x:v>COH香港</x:v>
      </x:c>
      <x:c r="I50" s="17" t="str">
        <x:v>TL</x:v>
      </x:c>
      <x:c r="J50" s="29" t="n">
        <x:v>45592.30081655092</x:v>
      </x:c>
      <x:c r="K50" s="17" t="str">
        <x:v>HKD</x:v>
      </x:c>
      <x:c r="L50" s="32" t="n">
        <x:v>75500</x:v>
      </x:c>
      <x:c r="M50" s="35" t="n">
        <x:v>0.8629433119240435</x:v>
      </x:c>
      <x:c r="N50" s="17" t="str">
        <x:v>https://hk.cohcigars.com/products/vintage-2008-bolivar-coronas-gigantes-box-51</x:v>
      </x:c>
    </x:row>
    <x:row r="51" ht="24" customHeight="1">
      <x:c r="A51" s="17" t="str">
        <x:v>多尔塞码头</x:v>
      </x:c>
      <x:c r="B51" s="17" t="str">
        <x:v>No.52</x:v>
      </x:c>
      <x:c r="C51" s="17" t="str">
        <x:v>52|156</x:v>
      </x:c>
      <x:c r="D51" s="20" t="n">
        <x:v>2940</x:v>
      </x:c>
      <x:c r="E51" s="23" t="n">
        <x:v>10</x:v>
      </x:c>
      <x:c r="F51" s="17" t="str">
        <x:v>TEST-22-2-477351</x:v>
      </x:c>
      <x:c r="G51" s="26" t="n">
        <x:v>2018</x:v>
      </x:c>
      <x:c r="H51" s="17" t="str">
        <x:v>CigarHome香港</x:v>
      </x:c>
      <x:c r="I51" s="17" t="str">
        <x:v>A1</x:v>
      </x:c>
      <x:c r="J51" s="29" t="n">
        <x:v>46052.14260048611</x:v>
      </x:c>
      <x:c r="K51" s="17" t="str">
        <x:v>HKD</x:v>
      </x:c>
      <x:c r="L51" s="32" t="n">
        <x:v>3381</x:v>
      </x:c>
      <x:c r="M51" s="35" t="n">
        <x:v>0.8629433119240435</x:v>
      </x:c>
      <x:c r="N51" s="17" t="str">
        <x:v>https://hk.cohcigars.com/products/quai-dorsay-no-52-box-10</x:v>
      </x:c>
    </x:row>
    <x:row r="52" ht="24" customHeight="1">
      <x:c r="A52" s="17" t="str">
        <x:v>波尔拉腊尼亚加</x:v>
      </x:c>
      <x:c r="B52" s="17" t="str">
        <x:v>Montecarlos 2015</x:v>
      </x:c>
      <x:c r="C52" s="17" t="str">
        <x:v>33|159</x:v>
      </x:c>
      <x:c r="D52" s="20" t="n">
        <x:v>6640</x:v>
      </x:c>
      <x:c r="E52" s="23" t="n">
        <x:v>25</x:v>
      </x:c>
      <x:c r="F52" s="17" t="str">
        <x:v>TEST-48-1-698951</x:v>
      </x:c>
      <x:c r="G52" s="26" t="n">
        <x:v>2015</x:v>
      </x:c>
      <x:c r="H52" s="17" t="str">
        <x:v>COH香港</x:v>
      </x:c>
      <x:c r="I52" s="17" t="str">
        <x:v>TL</x:v>
      </x:c>
      <x:c r="J52" s="29" t="n">
        <x:v>44630.37669997685</x:v>
      </x:c>
      <x:c r="K52" s="17" t="str">
        <x:v>HKD</x:v>
      </x:c>
      <x:c r="L52" s="32" t="n">
        <x:v>7300</x:v>
      </x:c>
      <x:c r="M52" s="35" t="n">
        <x:v>0.8629433119240435</x:v>
      </x:c>
      <x:c r="N52" s="17" t="str">
        <x:v>https://hk.cohcigars.com/products/vintage-2015-por-larranaga-montecarlos-box-25</x:v>
      </x:c>
    </x:row>
    <x:row r="53" ht="24" customHeight="1">
      <x:c r="A53" s="17" t="str">
        <x:v>帕特加斯</x:v>
      </x:c>
      <x:c r="B53" s="17" t="str">
        <x:v>哈瓦那</x:v>
      </x:c>
      <x:c r="C53" s="17" t="str">
        <x:v>39|125</x:v>
      </x:c>
      <x:c r="D53" s="20" t="n">
        <x:v>2200</x:v>
      </x:c>
      <x:c r="E53" s="23" t="n">
        <x:v>25</x:v>
      </x:c>
      <x:c r="F53" s="17" t="str">
        <x:v>TEST-09-1-875415</x:v>
      </x:c>
      <x:c r="G53" s="26" t="n">
        <x:v>2018</x:v>
      </x:c>
      <x:c r="H53" s="17" t="str">
        <x:v>欧洲行货</x:v>
      </x:c>
      <x:c r="I53" s="17" t="str">
        <x:v>B2</x:v>
      </x:c>
      <x:c r="J53" s="29" t="n">
        <x:v>44692.34141166667</x:v>
      </x:c>
      <x:c r="K53" s="17" t="str">
        <x:v>USD</x:v>
      </x:c>
      <x:c r="L53" s="32" t="n">
        <x:v>330</x:v>
      </x:c>
      <x:c r="M53" s="35" t="n">
        <x:v>6.766071115782099</x:v>
      </x:c>
      <x:c r="N53" s="17" t="str">
        <x:v>https://www.cigarhome.org/goods/438.html</x:v>
      </x:c>
    </x:row>
    <x:row r="54" ht="24" customHeight="1">
      <x:c r="A54" s="17" t="str">
        <x:v>帕特加斯</x:v>
      </x:c>
      <x:c r="B54" s="17" t="str">
        <x:v>蛇年 Cedros 2025</x:v>
      </x:c>
      <x:c r="C54" s="17" t="str">
        <x:v>50|155</x:v>
      </x:c>
      <x:c r="D54" s="20" t="n">
        <x:v>14810</x:v>
      </x:c>
      <x:c r="E54" s="23" t="n">
        <x:v>18</x:v>
      </x:c>
      <x:c r="F54" s="17" t="str">
        <x:v>TEST-45-1-852803</x:v>
      </x:c>
      <x:c r="G54" s="26" t="n">
        <x:v>2025</x:v>
      </x:c>
      <x:c r="H54" s="17" t="str">
        <x:v>英国EMS</x:v>
      </x:c>
      <x:c r="I54" s="17" t="str">
        <x:v>GW</x:v>
      </x:c>
      <x:c r="J54" s="29" t="n">
        <x:v>45057.13825939815</x:v>
      </x:c>
      <x:c r="K54" s="17" t="str">
        <x:v>HKD</x:v>
      </x:c>
      <x:c r="L54" s="32" t="n">
        <x:v>15900</x:v>
      </x:c>
      <x:c r="M54" s="35" t="n">
        <x:v>0.8629433119240435</x:v>
      </x:c>
      <x:c r="N54" s="17" t="str">
        <x:v>https://hk.cohcigars.com/products/partagas-cedros-year-of-the-snake</x:v>
      </x:c>
    </x:row>
    <x:row r="55" ht="24" customHeight="1">
      <x:c r="A55" s="17" t="str">
        <x:v>好友</x:v>
      </x:c>
      <x:c r="B55" s="17" t="str">
        <x:v>Epicure No.2 Reserva 2012</x:v>
      </x:c>
      <x:c r="C55" s="17" t="str">
        <x:v>50|124</x:v>
      </x:c>
      <x:c r="D55" s="20" t="n">
        <x:v>27970</x:v>
      </x:c>
      <x:c r="E55" s="23" t="n">
        <x:v>20</x:v>
      </x:c>
      <x:c r="F55" s="17" t="str">
        <x:v>TEST-42-2-760834</x:v>
      </x:c>
      <x:c r="G55" s="26" t="n">
        <x:v>2012</x:v>
      </x:c>
      <x:c r="H55" s="17" t="str">
        <x:v>欧洲行货</x:v>
      </x:c>
      <x:c r="I55" s="17" t="str">
        <x:v>A1</x:v>
      </x:c>
      <x:c r="J55" s="29" t="n">
        <x:v>44537.35595946759</x:v>
      </x:c>
      <x:c r="K55" s="17" t="str">
        <x:v>HKD</x:v>
      </x:c>
      <x:c r="L55" s="32" t="n">
        <x:v>31000</x:v>
      </x:c>
      <x:c r="M55" s="35" t="n">
        <x:v>0.8629433119240435</x:v>
      </x:c>
      <x:c r="N55" s="17" t="str">
        <x:v>https://hk.cohcigars.com/products/circa-2018-epicure-no-2-reserva-cosecha-2012-box-20-hoyo-de-monterrey-cigar-no-outer-box-no-felt-cover</x:v>
      </x:c>
    </x:row>
    <x:row r="56" ht="24" customHeight="1">
      <x:c r="A56" s="17" t="str">
        <x:v>特立尼达</x:v>
      </x:c>
      <x:c r="B56" s="17" t="str">
        <x:v>La Trova LCDH 2021</x:v>
      </x:c>
      <x:c r="C56" s="17" t="str">
        <x:v>52|166</x:v>
      </x:c>
      <x:c r="D56" s="20" t="n">
        <x:v>13340</x:v>
      </x:c>
      <x:c r="E56" s="23" t="n">
        <x:v>12</x:v>
      </x:c>
      <x:c r="F56" s="17" t="str">
        <x:v>TEST-39-1-234731</x:v>
      </x:c>
      <x:c r="G56" s="26" t="n">
        <x:v>2021</x:v>
      </x:c>
      <x:c r="H56" s="17" t="str">
        <x:v>COH香港</x:v>
      </x:c>
      <x:c r="I56" s="17" t="str">
        <x:v>A1</x:v>
      </x:c>
      <x:c r="J56" s="29" t="n">
        <x:v>45663.74264689815</x:v>
      </x:c>
      <x:c r="K56" s="17" t="str">
        <x:v>HKD</x:v>
      </x:c>
      <x:c r="L56" s="32" t="n">
        <x:v>16220</x:v>
      </x:c>
      <x:c r="M56" s="35" t="n">
        <x:v>0.8629433119240435</x:v>
      </x:c>
      <x:c r="N56" s="17" t="str">
        <x:v>https://hk.cohcigars.com/products/vintage-2021-la-trova-lcdh-box-12-trinidad-cigars</x:v>
      </x:c>
    </x:row>
    <x:row r="57" ht="24" customHeight="1">
      <x:c r="A57" s="17" t="str">
        <x:v>高希霸</x:v>
      </x:c>
      <x:c r="B57" s="17" t="str">
        <x:v>Majestuosos 1966 保湿盒</x:v>
      </x:c>
      <x:c r="C57" s="17" t="str">
        <x:v>58|150</x:v>
      </x:c>
      <x:c r="D57" s="20" t="n">
        <x:v>356120</x:v>
      </x:c>
      <x:c r="E57" s="23" t="n">
        <x:v>20</x:v>
      </x:c>
      <x:c r="F57" s="17" t="str">
        <x:v>TEST-31-1-641102</x:v>
      </x:c>
      <x:c r="G57" s="26" t="n">
        <x:v>1966</x:v>
      </x:c>
      <x:c r="H57" s="17" t="str">
        <x:v>欧洲行货</x:v>
      </x:c>
      <x:c r="I57" s="17" t="str">
        <x:v>A1</x:v>
      </x:c>
      <x:c r="J57" s="29" t="n">
        <x:v>45413.33904565972</x:v>
      </x:c>
      <x:c r="K57" s="17" t="str">
        <x:v>HKD</x:v>
      </x:c>
      <x:c r="L57" s="32" t="n">
        <x:v>411000</x:v>
      </x:c>
      <x:c r="M57" s="35" t="n">
        <x:v>0.8629433119240435</x:v>
      </x:c>
      <x:c r="N57" s="17" t="str">
        <x:v>https://hk.cohcigars.com/products/cohiba-cigar-humidor-majestuosos-box-20</x:v>
      </x:c>
    </x:row>
    <x:row r="58" ht="24" customHeight="1">
      <x:c r="A58" s="17" t="str">
        <x:v>奥利瓦</x:v>
      </x:c>
      <x:c r="B58" s="17" t="str">
        <x:v>Serie V Melanio No.4</x:v>
      </x:c>
      <x:c r="C58" s="17" t="str">
        <x:v>46|114</x:v>
      </x:c>
      <x:c r="D58" s="20" t="n">
        <x:v>930</x:v>
      </x:c>
      <x:c r="E58" s="23" t="n">
        <x:v>10</x:v>
      </x:c>
      <x:c r="F58" s="17" t="str">
        <x:v>TEST-32-1-822372</x:v>
      </x:c>
      <x:c r="G58" s="26" t="n">
        <x:v>2018</x:v>
      </x:c>
      <x:c r="H58" s="17" t="str">
        <x:v>香港PCC</x:v>
      </x:c>
      <x:c r="I58" s="17" t="str">
        <x:v>M</x:v>
      </x:c>
      <x:c r="J58" s="29" t="n">
        <x:v>45826.93283456018</x:v>
      </x:c>
      <x:c r="K58" s="17" t="str">
        <x:v>HKD</x:v>
      </x:c>
      <x:c r="L58" s="32" t="n">
        <x:v>1155</x:v>
      </x:c>
      <x:c r="M58" s="35" t="n">
        <x:v>0.8629433119240435</x:v>
      </x:c>
      <x:c r="N58" s="17" t="str">
        <x:v>https://hk.cohcigars.com/products/oliva-serie-v-melanio-no-4-4-5x46-box-of-10</x:v>
      </x:c>
    </x:row>
    <x:row r="59" ht="24" customHeight="1">
      <x:c r="A59" s="17" t="str">
        <x:v>高希霸</x:v>
      </x:c>
      <x:c r="B59" s="17" t="str">
        <x:v>世纪六号（10支）</x:v>
      </x:c>
      <x:c r="C59" s="17" t="str">
        <x:v>52|150</x:v>
      </x:c>
      <x:c r="D59" s="20" t="n">
        <x:v>12550</x:v>
      </x:c>
      <x:c r="E59" s="23" t="n">
        <x:v>10</x:v>
      </x:c>
      <x:c r="F59" s="17" t="str">
        <x:v>TEST-03-1-662633</x:v>
      </x:c>
      <x:c r="G59" s="26" t="n">
        <x:v>2022</x:v>
      </x:c>
      <x:c r="H59" s="17" t="str">
        <x:v>英国EMS</x:v>
      </x:c>
      <x:c r="I59" s="17" t="str">
        <x:v>B2</x:v>
      </x:c>
      <x:c r="J59" s="29" t="n">
        <x:v>45502.040175277776</x:v>
      </x:c>
      <x:c r="K59" s="17" t="str">
        <x:v>USD</x:v>
      </x:c>
      <x:c r="L59" s="32" t="n">
        <x:v>1750</x:v>
      </x:c>
      <x:c r="M59" s="35" t="n">
        <x:v>6.766071115782099</x:v>
      </x:c>
      <x:c r="N59" s="17" t="str">
        <x:v>https://www.cigarhome.org/goods/24.html</x:v>
      </x:c>
    </x:row>
    <x:row r="60" ht="24" customHeight="1">
      <x:c r="A60" s="17" t="str">
        <x:v>帕特加斯</x:v>
      </x:c>
      <x:c r="B60" s="17" t="str">
        <x:v>妙丽</x:v>
      </x:c>
      <x:c r="C60" s="17" t="str">
        <x:v>42|129</x:v>
      </x:c>
      <x:c r="D60" s="20" t="n">
        <x:v>2580</x:v>
      </x:c>
      <x:c r="E60" s="23" t="n">
        <x:v>25</x:v>
      </x:c>
      <x:c r="F60" s="17" t="str">
        <x:v>TEST-06-2-172107</x:v>
      </x:c>
      <x:c r="G60" s="26" t="n">
        <x:v>2022</x:v>
      </x:c>
      <x:c r="H60" s="17" t="str">
        <x:v>澳门LCDH</x:v>
      </x:c>
      <x:c r="I60" s="17" t="str">
        <x:v>GW</x:v>
      </x:c>
      <x:c r="J60" s="29" t="n">
        <x:v>44450.46854782407</x:v>
      </x:c>
      <x:c r="K60" s="17" t="str">
        <x:v>USD</x:v>
      </x:c>
      <x:c r="L60" s="32" t="n">
        <x:v>400</x:v>
      </x:c>
      <x:c r="M60" s="35" t="n">
        <x:v>6.766071115782099</x:v>
      </x:c>
      <x:c r="N60" s="17" t="str">
        <x:v>https://www.cigarhome.org/goods/261.html</x:v>
      </x:c>
    </x:row>
    <x:row r="61" ht="24" customHeight="1">
      <x:c r="A61" s="17" t="str">
        <x:v>帕特加斯</x:v>
      </x:c>
      <x:c r="B61" s="17" t="str">
        <x:v>D4</x:v>
      </x:c>
      <x:c r="C61" s="17" t="str">
        <x:v>50|124</x:v>
      </x:c>
      <x:c r="D61" s="20" t="n">
        <x:v>5670</x:v>
      </x:c>
      <x:c r="E61" s="23" t="n">
        <x:v>25</x:v>
      </x:c>
      <x:c r="F61" s="17" t="str">
        <x:v>TEST-08-1-917852</x:v>
      </x:c>
      <x:c r="G61" s="26" t="n">
        <x:v>2019</x:v>
      </x:c>
      <x:c r="H61" s="17" t="str">
        <x:v>CigarHome香港</x:v>
      </x:c>
      <x:c r="I61" s="17" t="str">
        <x:v>M</x:v>
      </x:c>
      <x:c r="J61" s="29" t="n">
        <x:v>45227.015687430554</x:v>
      </x:c>
      <x:c r="K61" s="17" t="str">
        <x:v>USD</x:v>
      </x:c>
      <x:c r="L61" s="32" t="n">
        <x:v>850</x:v>
      </x:c>
      <x:c r="M61" s="35" t="n">
        <x:v>6.766071115782099</x:v>
      </x:c>
      <x:c r="N61" s="17" t="str">
        <x:v>https://www.cigarhome.org/goods/260.html</x:v>
      </x:c>
    </x:row>
    <x:row r="62" ht="24" customHeight="1">
      <x:c r="A62" s="17" t="str">
        <x:v>大卫杜夫</x:v>
      </x:c>
      <x:c r="B62" s="17" t="str">
        <x:v>温斯顿丘吉尔 Late Hour Robusto</x:v>
      </x:c>
      <x:c r="C62" s="17" t="str">
        <x:v>52|133</x:v>
      </x:c>
      <x:c r="D62" s="20" t="n">
        <x:v>5350</x:v>
      </x:c>
      <x:c r="E62" s="23" t="n">
        <x:v>20</x:v>
      </x:c>
      <x:c r="F62" s="17" t="str">
        <x:v>TEST-36-2-320019</x:v>
      </x:c>
      <x:c r="G62" s="26" t="n">
        <x:v>2024</x:v>
      </x:c>
      <x:c r="H62" s="17" t="str">
        <x:v>香港PCC</x:v>
      </x:c>
      <x:c r="I62" s="17" t="str">
        <x:v>A1</x:v>
      </x:c>
      <x:c r="J62" s="29" t="n">
        <x:v>44983.958518576386</x:v>
      </x:c>
      <x:c r="K62" s="17" t="str">
        <x:v>HKD</x:v>
      </x:c>
      <x:c r="L62" s="32" t="n">
        <x:v>6364</x:v>
      </x:c>
      <x:c r="M62" s="35" t="n">
        <x:v>0.8629433119240435</x:v>
      </x:c>
      <x:c r="N62" s="17" t="str">
        <x:v>https://hk.cohcigars.com/products/davidoff-winston-churchill-the-late-hour-robusto-box-20</x:v>
      </x:c>
    </x:row>
    <x:row r="63" ht="24" customHeight="1">
      <x:c r="A63" s="17" t="str">
        <x:v>高希霸</x:v>
      </x:c>
      <x:c r="B63" s="17" t="str">
        <x:v>Behike 15周年礼盒</x:v>
      </x:c>
      <x:c r="C63" s="17" t="str">
        <x:v>56|144</x:v>
      </x:c>
      <x:c r="D63" s="20" t="n">
        <x:v>18260</x:v>
      </x:c>
      <x:c r="E63" s="23" t="n">
        <x:v>4</x:v>
      </x:c>
      <x:c r="F63" s="17" t="str">
        <x:v>TEST-26-1-301641</x:v>
      </x:c>
      <x:c r="G63" s="26" t="n">
        <x:v>2022</x:v>
      </x:c>
      <x:c r="H63" s="17" t="str">
        <x:v>澳门LCDH</x:v>
      </x:c>
      <x:c r="I63" s="17" t="str">
        <x:v>M</x:v>
      </x:c>
      <x:c r="J63" s="29" t="n">
        <x:v>45289.36198040509</x:v>
      </x:c>
      <x:c r="K63" s="17" t="str">
        <x:v>HKD</x:v>
      </x:c>
      <x:c r="L63" s="32" t="n">
        <x:v>19820</x:v>
      </x:c>
      <x:c r="M63" s="35" t="n">
        <x:v>0.8629433119240435</x:v>
      </x:c>
      <x:c r="N63" s="17" t="str">
        <x:v>https://hk.cohcigars.com/products/cohiba-behike-15-anniversary-gift-box-box-4-cohiba-cigars</x:v>
      </x:c>
    </x:row>
    <x:row r="64" ht="24" customHeight="1">
      <x:c r="A64" s="17" t="str">
        <x:v>高希霸</x:v>
      </x:c>
      <x:c r="B64" s="17" t="str">
        <x:v>世纪一号</x:v>
      </x:c>
      <x:c r="C64" s="17" t="str">
        <x:v>40|102</x:v>
      </x:c>
      <x:c r="D64" s="20" t="n">
        <x:v>8660</x:v>
      </x:c>
      <x:c r="E64" s="23" t="n">
        <x:v>25</x:v>
      </x:c>
      <x:c r="F64" s="17" t="str">
        <x:v>TEST-01-1-798859</x:v>
      </x:c>
      <x:c r="G64" s="26" t="n">
        <x:v>2026</x:v>
      </x:c>
      <x:c r="H64" s="17" t="str">
        <x:v>欧洲行货</x:v>
      </x:c>
      <x:c r="I64" s="17" t="str">
        <x:v>A1</x:v>
      </x:c>
      <x:c r="J64" s="29" t="n">
        <x:v>44997.86337591435</x:v>
      </x:c>
      <x:c r="K64" s="17" t="str">
        <x:v>USD</x:v>
      </x:c>
      <x:c r="L64" s="32" t="n">
        <x:v>1380</x:v>
      </x:c>
      <x:c r="M64" s="35" t="n">
        <x:v>6.766071115782099</x:v>
      </x:c>
      <x:c r="N64" s="17" t="str">
        <x:v>https://www.cigarhome.org/goods/39.html</x:v>
      </x:c>
    </x:row>
    <x:row r="65" ht="24" customHeight="1">
      <x:c r="A65" s="17" t="str">
        <x:v>库阿巴</x:v>
      </x:c>
      <x:c r="B65" s="17" t="str">
        <x:v>杰出</x:v>
      </x:c>
      <x:c r="C65" s="17" t="str">
        <x:v>52|162</x:v>
      </x:c>
      <x:c r="D65" s="20" t="n">
        <x:v>3860</x:v>
      </x:c>
      <x:c r="E65" s="23" t="n">
        <x:v>10</x:v>
      </x:c>
      <x:c r="F65" s="17" t="str">
        <x:v>TEST-12-1-664869</x:v>
      </x:c>
      <x:c r="G65" s="26" t="n">
        <x:v>2018</x:v>
      </x:c>
      <x:c r="H65" s="17" t="str">
        <x:v>英国EMS</x:v>
      </x:c>
      <x:c r="I65" s="17" t="str">
        <x:v>B2</x:v>
      </x:c>
      <x:c r="J65" s="29" t="n">
        <x:v>44542.69895133102</x:v>
      </x:c>
      <x:c r="K65" s="17" t="str">
        <x:v>USD</x:v>
      </x:c>
      <x:c r="L65" s="32" t="n">
        <x:v>560</x:v>
      </x:c>
      <x:c r="M65" s="35" t="n">
        <x:v>6.766071115782099</x:v>
      </x:c>
      <x:c r="N65" s="17" t="str">
        <x:v>https://www.cigarhome.org/goods/91.html</x:v>
      </x:c>
    </x:row>
    <x:row r="66" ht="24" customHeight="1">
      <x:c r="A66" s="17" t="str">
        <x:v>潘趣</x:v>
      </x:c>
      <x:c r="B66" s="17" t="str">
        <x:v>Punch 48 LCDH</x:v>
      </x:c>
      <x:c r="C66" s="17" t="str">
        <x:v>48|140</x:v>
      </x:c>
      <x:c r="D66" s="20" t="n">
        <x:v>2960</x:v>
      </x:c>
      <x:c r="E66" s="23" t="n">
        <x:v>10</x:v>
      </x:c>
      <x:c r="F66" s="17" t="str">
        <x:v>TEST-27-2-477874</x:v>
      </x:c>
      <x:c r="G66" s="26" t="n">
        <x:v>2026</x:v>
      </x:c>
      <x:c r="H66" s="17" t="str">
        <x:v>香港PCC</x:v>
      </x:c>
      <x:c r="I66" s="17" t="str">
        <x:v>GW</x:v>
      </x:c>
      <x:c r="J66" s="29" t="n">
        <x:v>45109.380136134256</x:v>
      </x:c>
      <x:c r="K66" s="17" t="str">
        <x:v>HKD</x:v>
      </x:c>
      <x:c r="L66" s="32" t="n">
        <x:v>3650</x:v>
      </x:c>
      <x:c r="M66" s="35" t="n">
        <x:v>0.8629433119240435</x:v>
      </x:c>
      <x:c r="N66" s="17" t="str">
        <x:v>https://hk.cohcigars.com/products/punch-cigar-punch-48-box-10</x:v>
      </x:c>
    </x:row>
    <x:row r="67" ht="24" customHeight="1">
      <x:c r="A67" s="17" t="str">
        <x:v>普拉森西亚</x:v>
      </x:c>
      <x:c r="B67" s="17" t="str">
        <x:v>Reserva Original Toro</x:v>
      </x:c>
      <x:c r="C67" s="17" t="str">
        <x:v>50|152</x:v>
      </x:c>
      <x:c r="D67" s="20" t="n">
        <x:v>1090</x:v>
      </x:c>
      <x:c r="E67" s="23" t="n">
        <x:v>10</x:v>
      </x:c>
      <x:c r="F67" s="17" t="str">
        <x:v>TEST-23-1-328774</x:v>
      </x:c>
      <x:c r="G67" s="26" t="n">
        <x:v>2020</x:v>
      </x:c>
      <x:c r="H67" s="17" t="str">
        <x:v>CigarHome香港</x:v>
      </x:c>
      <x:c r="I67" s="17" t="str">
        <x:v>A1</x:v>
      </x:c>
      <x:c r="J67" s="29" t="n">
        <x:v>45885.44795572916</x:v>
      </x:c>
      <x:c r="K67" s="17" t="str">
        <x:v>HKD</x:v>
      </x:c>
      <x:c r="L67" s="32" t="n">
        <x:v>1322</x:v>
      </x:c>
      <x:c r="M67" s="35" t="n">
        <x:v>0.8629433119240435</x:v>
      </x:c>
      <x:c r="N67" s="17" t="str">
        <x:v>https://hk.cohcigars.com/products/reserva-original-toro-box-10-plasencia-cigars</x:v>
      </x:c>
    </x:row>
    <x:row r="68" ht="24" customHeight="1">
      <x:c r="A68" s="17" t="str">
        <x:v>特立尼达</x:v>
      </x:c>
      <x:c r="B68" s="17" t="str">
        <x:v>La Trova LCDH 2021</x:v>
      </x:c>
      <x:c r="C68" s="17" t="str">
        <x:v>52|166</x:v>
      </x:c>
      <x:c r="D68" s="20" t="n">
        <x:v>14130</x:v>
      </x:c>
      <x:c r="E68" s="23" t="n">
        <x:v>12</x:v>
      </x:c>
      <x:c r="F68" s="17" t="str">
        <x:v>TEST-39-2-580778</x:v>
      </x:c>
      <x:c r="G68" s="26" t="n">
        <x:v>2021</x:v>
      </x:c>
      <x:c r="H68" s="17" t="str">
        <x:v>CigarHome香港</x:v>
      </x:c>
      <x:c r="I68" s="17" t="str">
        <x:v>A1</x:v>
      </x:c>
      <x:c r="J68" s="29" t="n">
        <x:v>46085.896045208334</x:v>
      </x:c>
      <x:c r="K68" s="17" t="str">
        <x:v>HKD</x:v>
      </x:c>
      <x:c r="L68" s="32" t="n">
        <x:v>16220</x:v>
      </x:c>
      <x:c r="M68" s="35" t="n">
        <x:v>0.8629433119240435</x:v>
      </x:c>
      <x:c r="N68" s="17" t="str">
        <x:v>https://hk.cohcigars.com/products/vintage-2021-la-trova-lcdh-box-12-trinidad-cigars</x:v>
      </x:c>
    </x:row>
    <x:row r="69" ht="24" customHeight="1">
      <x:c r="A69" s="17" t="str">
        <x:v>好友</x:v>
      </x:c>
      <x:c r="B69" s="17" t="str">
        <x:v>小罗布图</x:v>
      </x:c>
      <x:c r="C69" s="17" t="str">
        <x:v>50|102</x:v>
      </x:c>
      <x:c r="D69" s="20" t="n">
        <x:v>4850</x:v>
      </x:c>
      <x:c r="E69" s="23" t="n">
        <x:v>25</x:v>
      </x:c>
      <x:c r="F69" s="17" t="str">
        <x:v>TEST-11-1-976183</x:v>
      </x:c>
      <x:c r="G69" s="26" t="n">
        <x:v>2025</x:v>
      </x:c>
      <x:c r="H69" s="17" t="str">
        <x:v>澳门LCDH</x:v>
      </x:c>
      <x:c r="I69" s="17" t="str">
        <x:v>GW</x:v>
      </x:c>
      <x:c r="J69" s="29" t="n">
        <x:v>45736.47929575232</x:v>
      </x:c>
      <x:c r="K69" s="17" t="str">
        <x:v>USD</x:v>
      </x:c>
      <x:c r="L69" s="32" t="n">
        <x:v>680</x:v>
      </x:c>
      <x:c r="M69" s="35" t="n">
        <x:v>6.766071115782099</x:v>
      </x:c>
      <x:c r="N69" s="17" t="str">
        <x:v>https://www.cigarhome.org/goods/148.html</x:v>
      </x:c>
    </x:row>
    <x:row r="70" ht="24" customHeight="1">
      <x:c r="A70" s="17" t="str">
        <x:v>帕特加斯</x:v>
      </x:c>
      <x:c r="B70" s="17" t="str">
        <x:v>哈瓦那</x:v>
      </x:c>
      <x:c r="C70" s="17" t="str">
        <x:v>39|125</x:v>
      </x:c>
      <x:c r="D70" s="20" t="n">
        <x:v>2370</x:v>
      </x:c>
      <x:c r="E70" s="23" t="n">
        <x:v>25</x:v>
      </x:c>
      <x:c r="F70" s="17" t="str">
        <x:v>TEST-09-2-408260</x:v>
      </x:c>
      <x:c r="G70" s="26" t="n">
        <x:v>2025</x:v>
      </x:c>
      <x:c r="H70" s="17" t="str">
        <x:v>COH香港</x:v>
      </x:c>
      <x:c r="I70" s="17" t="str">
        <x:v>B2</x:v>
      </x:c>
      <x:c r="J70" s="29" t="n">
        <x:v>45347.15083096065</x:v>
      </x:c>
      <x:c r="K70" s="17" t="str">
        <x:v>USD</x:v>
      </x:c>
      <x:c r="L70" s="32" t="n">
        <x:v>330</x:v>
      </x:c>
      <x:c r="M70" s="35" t="n">
        <x:v>6.766071115782099</x:v>
      </x:c>
      <x:c r="N70" s="17" t="str">
        <x:v>https://www.cigarhome.org/goods/438.html</x:v>
      </x:c>
    </x:row>
    <x:row r="71" ht="24" customHeight="1">
      <x:c r="A71" s="17" t="str">
        <x:v>帕特加斯</x:v>
      </x:c>
      <x:c r="B71" s="17" t="str">
        <x:v>妙丽</x:v>
      </x:c>
      <x:c r="C71" s="17" t="str">
        <x:v>42|129</x:v>
      </x:c>
      <x:c r="D71" s="20" t="n">
        <x:v>2520</x:v>
      </x:c>
      <x:c r="E71" s="23" t="n">
        <x:v>25</x:v>
      </x:c>
      <x:c r="F71" s="17" t="str">
        <x:v>TEST-06-1-636758</x:v>
      </x:c>
      <x:c r="G71" s="26" t="n">
        <x:v>2022</x:v>
      </x:c>
      <x:c r="H71" s="17" t="str">
        <x:v>英国EMS</x:v>
      </x:c>
      <x:c r="I71" s="17" t="str">
        <x:v>A1</x:v>
      </x:c>
      <x:c r="J71" s="29" t="n">
        <x:v>44809.91265896991</x:v>
      </x:c>
      <x:c r="K71" s="17" t="str">
        <x:v>USD</x:v>
      </x:c>
      <x:c r="L71" s="32" t="n">
        <x:v>400</x:v>
      </x:c>
      <x:c r="M71" s="35" t="n">
        <x:v>6.766071115782099</x:v>
      </x:c>
      <x:c r="N71" s="17" t="str">
        <x:v>https://www.cigarhome.org/goods/261.html</x:v>
      </x:c>
    </x:row>
    <x:row r="72" ht="24" customHeight="1">
      <x:c r="A72" s="17" t="str">
        <x:v>拉斐尔冈萨雷斯</x:v>
      </x:c>
      <x:c r="B72" s="17" t="str">
        <x:v>Perlas</x:v>
      </x:c>
      <x:c r="C72" s="17" t="str">
        <x:v>40|102</x:v>
      </x:c>
      <x:c r="D72" s="20" t="n">
        <x:v>2290</x:v>
      </x:c>
      <x:c r="E72" s="23" t="n">
        <x:v>25</x:v>
      </x:c>
      <x:c r="F72" s="17" t="str">
        <x:v>TEST-30-2-191757</x:v>
      </x:c>
      <x:c r="G72" s="26" t="n">
        <x:v>2020</x:v>
      </x:c>
      <x:c r="H72" s="17" t="str">
        <x:v>英国EMS</x:v>
      </x:c>
      <x:c r="I72" s="17" t="str">
        <x:v>M</x:v>
      </x:c>
      <x:c r="J72" s="29" t="n">
        <x:v>44680.90658216435</x:v>
      </x:c>
      <x:c r="K72" s="17" t="str">
        <x:v>HKD</x:v>
      </x:c>
      <x:c r="L72" s="32" t="n">
        <x:v>2487</x:v>
      </x:c>
      <x:c r="M72" s="35" t="n">
        <x:v>0.8629433119240435</x:v>
      </x:c>
      <x:c r="N72" s="17" t="str">
        <x:v>https://hk.cohcigars.com/products/rafael-gonzalez-cigar-perlas-box-25</x:v>
      </x:c>
    </x:row>
    <x:row r="73" ht="24" customHeight="1">
      <x:c r="A73" s="17" t="str">
        <x:v>奥利瓦</x:v>
      </x:c>
      <x:c r="B73" s="17" t="str">
        <x:v>Serie V Melanio No.4</x:v>
      </x:c>
      <x:c r="C73" s="17" t="str">
        <x:v>46|114</x:v>
      </x:c>
      <x:c r="D73" s="20" t="n">
        <x:v>1070</x:v>
      </x:c>
      <x:c r="E73" s="23" t="n">
        <x:v>10</x:v>
      </x:c>
      <x:c r="F73" s="17" t="str">
        <x:v>TEST-32-2-247746</x:v>
      </x:c>
      <x:c r="G73" s="26" t="n">
        <x:v>2026</x:v>
      </x:c>
      <x:c r="H73" s="17" t="str">
        <x:v>英国EMS</x:v>
      </x:c>
      <x:c r="I73" s="17" t="str">
        <x:v>TL</x:v>
      </x:c>
      <x:c r="J73" s="29" t="n">
        <x:v>44860.832753993054</x:v>
      </x:c>
      <x:c r="K73" s="17" t="str">
        <x:v>HKD</x:v>
      </x:c>
      <x:c r="L73" s="32" t="n">
        <x:v>1155</x:v>
      </x:c>
      <x:c r="M73" s="35" t="n">
        <x:v>0.8629433119240435</x:v>
      </x:c>
      <x:c r="N73" s="17" t="str">
        <x:v>https://hk.cohcigars.com/products/oliva-serie-v-melanio-no-4-4-5x46-box-of-10</x:v>
      </x:c>
    </x:row>
    <x:row r="74" ht="24" customHeight="1">
      <x:c r="A74" s="17" t="str">
        <x:v>大卫杜夫</x:v>
      </x:c>
      <x:c r="B74" s="17" t="str">
        <x:v>温斯顿丘吉尔 Late Hour Robusto</x:v>
      </x:c>
      <x:c r="C74" s="17" t="str">
        <x:v>52|133</x:v>
      </x:c>
      <x:c r="D74" s="20" t="n">
        <x:v>5250</x:v>
      </x:c>
      <x:c r="E74" s="23" t="n">
        <x:v>20</x:v>
      </x:c>
      <x:c r="F74" s="17" t="str">
        <x:v>TEST-36-1-860925</x:v>
      </x:c>
      <x:c r="G74" s="26" t="n">
        <x:v>2018</x:v>
      </x:c>
      <x:c r="H74" s="17" t="str">
        <x:v>COH香港</x:v>
      </x:c>
      <x:c r="I74" s="17" t="str">
        <x:v>GW</x:v>
      </x:c>
      <x:c r="J74" s="29" t="n">
        <x:v>46049.53647983796</x:v>
      </x:c>
      <x:c r="K74" s="17" t="str">
        <x:v>HKD</x:v>
      </x:c>
      <x:c r="L74" s="32" t="n">
        <x:v>6364</x:v>
      </x:c>
      <x:c r="M74" s="35" t="n">
        <x:v>0.8629433119240435</x:v>
      </x:c>
      <x:c r="N74" s="17" t="str">
        <x:v>https://hk.cohcigars.com/products/davidoff-winston-churchill-the-late-hour-robusto-box-20</x:v>
      </x:c>
    </x:row>
    <x:row r="75" ht="24" customHeight="1">
      <x:c r="A75" s="17" t="str">
        <x:v>大卫杜夫</x:v>
      </x:c>
      <x:c r="B75" s="17" t="str">
        <x:v>Signature Toro</x:v>
      </x:c>
      <x:c r="C75" s="17" t="str">
        <x:v>54|152</x:v>
      </x:c>
      <x:c r="D75" s="20" t="n">
        <x:v>6170</x:v>
      </x:c>
      <x:c r="E75" s="23" t="n">
        <x:v>25</x:v>
      </x:c>
      <x:c r="F75" s="17" t="str">
        <x:v>TEST-37-1-400181</x:v>
      </x:c>
      <x:c r="G75" s="26" t="n">
        <x:v>2022</x:v>
      </x:c>
      <x:c r="H75" s="17" t="str">
        <x:v>澳门LCDH</x:v>
      </x:c>
      <x:c r="I75" s="17" t="str">
        <x:v>B2</x:v>
      </x:c>
      <x:c r="J75" s="29" t="n">
        <x:v>46046.00737002315</x:v>
      </x:c>
      <x:c r="K75" s="17" t="str">
        <x:v>HKD</x:v>
      </x:c>
      <x:c r="L75" s="32" t="n">
        <x:v>7363</x:v>
      </x:c>
      <x:c r="M75" s="35" t="n">
        <x:v>0.8629433119240435</x:v>
      </x:c>
      <x:c r="N75" s="17" t="str">
        <x:v>https://hk.cohcigars.com/products/davidoff-cigar-signature-toro-box-25</x:v>
      </x:c>
    </x:row>
    <x:row r="76" ht="24" customHeight="1">
      <x:c r="A76" s="17" t="str">
        <x:v>蒙特克里斯托</x:v>
      </x:c>
      <x:c r="B76" s="17" t="str">
        <x:v>半皇冠</x:v>
      </x:c>
      <x:c r="C76" s="17" t="str">
        <x:v>44|90</x:v>
      </x:c>
      <x:c r="D76" s="20" t="n">
        <x:v>2840</x:v>
      </x:c>
      <x:c r="E76" s="23" t="n">
        <x:v>25</x:v>
      </x:c>
      <x:c r="F76" s="17" t="str">
        <x:v>TEST-19-2-664722</x:v>
      </x:c>
      <x:c r="G76" s="26" t="n">
        <x:v>2019</x:v>
      </x:c>
      <x:c r="H76" s="17" t="str">
        <x:v>澳门LCDH</x:v>
      </x:c>
      <x:c r="I76" s="17" t="str">
        <x:v>M</x:v>
      </x:c>
      <x:c r="J76" s="29" t="n">
        <x:v>45116.22494959491</x:v>
      </x:c>
      <x:c r="K76" s="17" t="str">
        <x:v>USD</x:v>
      </x:c>
      <x:c r="L76" s="32" t="n">
        <x:v>430</x:v>
      </x:c>
      <x:c r="M76" s="35" t="n">
        <x:v>6.766071115782099</x:v>
      </x:c>
      <x:c r="N76" s="17" t="str">
        <x:v>https://www.cigarhome.org/goods/207.html</x:v>
      </x:c>
    </x:row>
    <x:row r="77" ht="24" customHeight="1">
      <x:c r="A77" s="17" t="str">
        <x:v>高希霸</x:v>
      </x:c>
      <x:c r="B77" s="17" t="str">
        <x:v>Majestuosos 1966 保湿盒</x:v>
      </x:c>
      <x:c r="C77" s="17" t="str">
        <x:v>58|150</x:v>
      </x:c>
      <x:c r="D77" s="20" t="n">
        <x:v>331210</x:v>
      </x:c>
      <x:c r="E77" s="23" t="n">
        <x:v>20</x:v>
      </x:c>
      <x:c r="F77" s="17" t="str">
        <x:v>TEST-31-2-279608</x:v>
      </x:c>
      <x:c r="G77" s="26" t="n">
        <x:v>1966</x:v>
      </x:c>
      <x:c r="H77" s="17" t="str">
        <x:v>欧洲行货</x:v>
      </x:c>
      <x:c r="I77" s="17" t="str">
        <x:v>B2</x:v>
      </x:c>
      <x:c r="J77" s="29" t="n">
        <x:v>45942.69161517361</x:v>
      </x:c>
      <x:c r="K77" s="17" t="str">
        <x:v>HKD</x:v>
      </x:c>
      <x:c r="L77" s="32" t="n">
        <x:v>411000</x:v>
      </x:c>
      <x:c r="M77" s="35" t="n">
        <x:v>0.8629433119240435</x:v>
      </x:c>
      <x:c r="N77" s="17" t="str">
        <x:v>https://hk.cohcigars.com/products/cohiba-cigar-humidor-majestuosos-box-20</x:v>
      </x:c>
    </x:row>
    <x:row r="78" ht="24" customHeight="1">
      <x:c r="A78" s="17" t="str">
        <x:v>乌普曼</x:v>
      </x:c>
      <x:c r="B78" s="17" t="str">
        <x:v>Magnum 46 2008</x:v>
      </x:c>
      <x:c r="C78" s="17" t="str">
        <x:v>46|143</x:v>
      </x:c>
      <x:c r="D78" s="20" t="n">
        <x:v>15310</x:v>
      </x:c>
      <x:c r="E78" s="23" t="n">
        <x:v>25</x:v>
      </x:c>
      <x:c r="F78" s="17" t="str">
        <x:v>TEST-47-1-605099</x:v>
      </x:c>
      <x:c r="G78" s="26" t="n">
        <x:v>2008</x:v>
      </x:c>
      <x:c r="H78" s="17" t="str">
        <x:v>CigarHome香港</x:v>
      </x:c>
      <x:c r="I78" s="17" t="str">
        <x:v>TL</x:v>
      </x:c>
      <x:c r="J78" s="29" t="n">
        <x:v>45942.65210033565</x:v>
      </x:c>
      <x:c r="K78" s="17" t="str">
        <x:v>HKD</x:v>
      </x:c>
      <x:c r="L78" s="32" t="n">
        <x:v>19100</x:v>
      </x:c>
      <x:c r="M78" s="35" t="n">
        <x:v>0.8629433119240435</x:v>
      </x:c>
      <x:c r="N78" s="17" t="str">
        <x:v>https://hk.cohcigars.com/products/vintage-2008-h-upmann-magnum-46-box-25</x:v>
      </x:c>
    </x:row>
    <x:row r="79" ht="24" customHeight="1">
      <x:c r="A79" s="17" t="str">
        <x:v>蒙特克里斯托</x:v>
      </x:c>
      <x:c r="B79" s="17" t="str">
        <x:v>4号</x:v>
      </x:c>
      <x:c r="C79" s="17" t="str">
        <x:v>42|129</x:v>
      </x:c>
      <x:c r="D79" s="20" t="n">
        <x:v>3970</x:v>
      </x:c>
      <x:c r="E79" s="23" t="n">
        <x:v>25</x:v>
      </x:c>
      <x:c r="F79" s="17" t="str">
        <x:v>TEST-16-2-257913</x:v>
      </x:c>
      <x:c r="G79" s="26" t="n">
        <x:v>2026</x:v>
      </x:c>
      <x:c r="H79" s="17" t="str">
        <x:v>欧洲行货</x:v>
      </x:c>
      <x:c r="I79" s="17" t="str">
        <x:v>TL</x:v>
      </x:c>
      <x:c r="J79" s="29" t="n">
        <x:v>45743.55935270833</x:v>
      </x:c>
      <x:c r="K79" s="17" t="str">
        <x:v>USD</x:v>
      </x:c>
      <x:c r="L79" s="32" t="n">
        <x:v>580</x:v>
      </x:c>
      <x:c r="M79" s="35" t="n">
        <x:v>6.766071115782099</x:v>
      </x:c>
      <x:c r="N79" s="17" t="str">
        <x:v>https://www.cigarhome.org/goods/213.html</x:v>
      </x:c>
    </x:row>
    <x:row r="80" ht="24" customHeight="1">
      <x:c r="A80" s="17" t="str">
        <x:v>好友</x:v>
      </x:c>
      <x:c r="B80" s="17" t="str">
        <x:v>Epicure No.2 Reserva 2012</x:v>
      </x:c>
      <x:c r="C80" s="17" t="str">
        <x:v>50|124</x:v>
      </x:c>
      <x:c r="D80" s="20" t="n">
        <x:v>25950</x:v>
      </x:c>
      <x:c r="E80" s="23" t="n">
        <x:v>20</x:v>
      </x:c>
      <x:c r="F80" s="17" t="str">
        <x:v>TEST-42-1-671675</x:v>
      </x:c>
      <x:c r="G80" s="26" t="n">
        <x:v>2012</x:v>
      </x:c>
      <x:c r="H80" s="17" t="str">
        <x:v>香港PCC</x:v>
      </x:c>
      <x:c r="I80" s="17" t="str">
        <x:v>TL</x:v>
      </x:c>
      <x:c r="J80" s="29" t="n">
        <x:v>45137.33218226852</x:v>
      </x:c>
      <x:c r="K80" s="17" t="str">
        <x:v>HKD</x:v>
      </x:c>
      <x:c r="L80" s="32" t="n">
        <x:v>31000</x:v>
      </x:c>
      <x:c r="M80" s="35" t="n">
        <x:v>0.8629433119240435</x:v>
      </x:c>
      <x:c r="N80" s="17" t="str">
        <x:v>https://hk.cohcigars.com/products/circa-2018-epicure-no-2-reserva-cosecha-2012-box-20-hoyo-de-monterrey-cigar-no-outer-box-no-felt-cover</x:v>
      </x:c>
    </x:row>
    <x:row r="81" ht="24" customHeight="1">
      <x:c r="A81" s="17" t="str">
        <x:v>高希霸</x:v>
      </x:c>
      <x:c r="B81" s="17" t="str">
        <x:v>Vistosos</x:v>
      </x:c>
      <x:c r="C81" s="17" t="str">
        <x:v>56|156</x:v>
      </x:c>
      <x:c r="D81" s="20" t="n">
        <x:v>23440</x:v>
      </x:c>
      <x:c r="E81" s="23" t="n">
        <x:v>10</x:v>
      </x:c>
      <x:c r="F81" s="17" t="str">
        <x:v>TEST-50-1-897178</x:v>
      </x:c>
      <x:c r="G81" s="26" t="n">
        <x:v>2021</x:v>
      </x:c>
      <x:c r="H81" s="17" t="str">
        <x:v>欧洲行货</x:v>
      </x:c>
      <x:c r="I81" s="17" t="str">
        <x:v>M</x:v>
      </x:c>
      <x:c r="J81" s="29" t="n">
        <x:v>46224.41010777778</x:v>
      </x:c>
      <x:c r="K81" s="17" t="str">
        <x:v>HKD</x:v>
      </x:c>
      <x:c r="L81" s="32" t="n">
        <x:v>28200</x:v>
      </x:c>
      <x:c r="M81" s="35" t="n">
        <x:v>0.8629433119240435</x:v>
      </x:c>
      <x:c r="N81" s="17" t="str">
        <x:v>https://hk.cohcigars.com/products/cohiba-vistosos-box-10</x:v>
      </x:c>
    </x:row>
    <x:row r="82" ht="24" customHeight="1">
      <x:c r="A82" s="17" t="str">
        <x:v>高希霸</x:v>
      </x:c>
      <x:c r="B82" s="17" t="str">
        <x:v>魔术师</x:v>
      </x:c>
      <x:c r="C82" s="17" t="str">
        <x:v>52|115</x:v>
      </x:c>
      <x:c r="D82" s="20" t="n">
        <x:v>9410</x:v>
      </x:c>
      <x:c r="E82" s="23" t="n">
        <x:v>10</x:v>
      </x:c>
      <x:c r="F82" s="17" t="str">
        <x:v>TEST-04-1-695689</x:v>
      </x:c>
      <x:c r="G82" s="26" t="n">
        <x:v>2019</x:v>
      </x:c>
      <x:c r="H82" s="17" t="str">
        <x:v>COH香港</x:v>
      </x:c>
      <x:c r="I82" s="17" t="str">
        <x:v>B2</x:v>
      </x:c>
      <x:c r="J82" s="29" t="n">
        <x:v>44598.25892039352</x:v>
      </x:c>
      <x:c r="K82" s="17" t="str">
        <x:v>USD</x:v>
      </x:c>
      <x:c r="L82" s="32" t="n">
        <x:v>1450</x:v>
      </x:c>
      <x:c r="M82" s="35" t="n">
        <x:v>6.766071115782099</x:v>
      </x:c>
      <x:c r="N82" s="17" t="str">
        <x:v>https://www.cigarhome.org/goods/21.html</x:v>
      </x:c>
    </x:row>
    <x:row r="83" ht="24" customHeight="1">
      <x:c r="A83" s="17" t="str">
        <x:v>多尔塞码头</x:v>
      </x:c>
      <x:c r="B83" s="17" t="str">
        <x:v>Secreto Cubano 法国地区版 2016</x:v>
      </x:c>
      <x:c r="C83" s="17" t="str">
        <x:v>40|110</x:v>
      </x:c>
      <x:c r="D83" s="20" t="n">
        <x:v>7030</x:v>
      </x:c>
      <x:c r="E83" s="23" t="n">
        <x:v>10</x:v>
      </x:c>
      <x:c r="F83" s="17" t="str">
        <x:v>TEST-29-1-357430</x:v>
      </x:c>
      <x:c r="G83" s="26" t="n">
        <x:v>2016</x:v>
      </x:c>
      <x:c r="H83" s="17" t="str">
        <x:v>香港PCC</x:v>
      </x:c>
      <x:c r="I83" s="17" t="str">
        <x:v>GW</x:v>
      </x:c>
      <x:c r="J83" s="29" t="n">
        <x:v>45343.7583418287</x:v>
      </x:c>
      <x:c r="K83" s="17" t="str">
        <x:v>HKD</x:v>
      </x:c>
      <x:c r="L83" s="32" t="n">
        <x:v>8100</x:v>
      </x:c>
      <x:c r="M83" s="35" t="n">
        <x:v>0.8629433119240435</x:v>
      </x:c>
      <x:c r="N83" s="17" t="str">
        <x:v>https://hk.cohcigars.com/products/quai-dorsay-secreto-cubano-2016-box-10</x:v>
      </x:c>
    </x:row>
    <x:row r="84" ht="24" customHeight="1">
      <x:c r="A84" s="17" t="str">
        <x:v>潘趣</x:v>
      </x:c>
      <x:c r="B84" s="17" t="str">
        <x:v>Duke 墨西哥地区版 2018</x:v>
      </x:c>
      <x:c r="C84" s="17" t="str">
        <x:v>54|140</x:v>
      </x:c>
      <x:c r="D84" s="20" t="n">
        <x:v>8160</x:v>
      </x:c>
      <x:c r="E84" s="23" t="n">
        <x:v>10</x:v>
      </x:c>
      <x:c r="F84" s="17" t="str">
        <x:v>TEST-25-1-753589</x:v>
      </x:c>
      <x:c r="G84" s="26" t="n">
        <x:v>2018</x:v>
      </x:c>
      <x:c r="H84" s="17" t="str">
        <x:v>英国EMS</x:v>
      </x:c>
      <x:c r="I84" s="17" t="str">
        <x:v>A1</x:v>
      </x:c>
      <x:c r="J84" s="29" t="n">
        <x:v>44684.1945821875</x:v>
      </x:c>
      <x:c r="K84" s="17" t="str">
        <x:v>HKD</x:v>
      </x:c>
      <x:c r="L84" s="32" t="n">
        <x:v>8775</x:v>
      </x:c>
      <x:c r="M84" s="35" t="n">
        <x:v>0.8629433119240435</x:v>
      </x:c>
      <x:c r="N84" s="17" t="str">
        <x:v>https://hk.cohcigars.com/products/duke-box-10-punch-cigars</x:v>
      </x:c>
    </x:row>
    <x:row r="85" ht="24" customHeight="1">
      <x:c r="A85" s="17" t="str">
        <x:v>高希霸</x:v>
      </x:c>
      <x:c r="B85" s="17" t="str">
        <x:v>55周年限量版</x:v>
      </x:c>
      <x:c r="C85" s="17" t="str">
        <x:v>57|150</x:v>
      </x:c>
      <x:c r="D85" s="20" t="n">
        <x:v>27510</x:v>
      </x:c>
      <x:c r="E85" s="23" t="n">
        <x:v>10</x:v>
      </x:c>
      <x:c r="F85" s="17" t="str">
        <x:v>TEST-02-2-815560</x:v>
      </x:c>
      <x:c r="G85" s="26" t="n">
        <x:v>2019</x:v>
      </x:c>
      <x:c r="H85" s="17" t="str">
        <x:v>英国EMS</x:v>
      </x:c>
      <x:c r="I85" s="17" t="str">
        <x:v>B2</x:v>
      </x:c>
      <x:c r="J85" s="29" t="n">
        <x:v>44604.881076412035</x:v>
      </x:c>
      <x:c r="K85" s="17" t="str">
        <x:v>USD</x:v>
      </x:c>
      <x:c r="L85" s="32" t="n">
        <x:v>4100</x:v>
      </x:c>
      <x:c r="M85" s="35" t="n">
        <x:v>6.766071115782099</x:v>
      </x:c>
      <x:c r="N85" s="17" t="str">
        <x:v>https://www.cigarhome.org/goods/517.html</x:v>
      </x:c>
    </x:row>
    <x:row r="86" ht="24" customHeight="1">
      <x:c r="A86" s="17" t="str">
        <x:v>多尔塞码头</x:v>
      </x:c>
      <x:c r="B86" s="17" t="str">
        <x:v>50周年特别版（5支）</x:v>
      </x:c>
      <x:c r="C86" s="17" t="str">
        <x:v>50|110</x:v>
      </x:c>
      <x:c r="D86" s="20" t="n">
        <x:v>3500</x:v>
      </x:c>
      <x:c r="E86" s="23" t="n">
        <x:v>5</x:v>
      </x:c>
      <x:c r="F86" s="17" t="str">
        <x:v>TEST-14-2-109801</x:v>
      </x:c>
      <x:c r="G86" s="26" t="n">
        <x:v>2023</x:v>
      </x:c>
      <x:c r="H86" s="17" t="str">
        <x:v>香港PCC</x:v>
      </x:c>
      <x:c r="I86" s="17" t="str">
        <x:v>GW</x:v>
      </x:c>
      <x:c r="J86" s="29" t="n">
        <x:v>45740.792239166665</x:v>
      </x:c>
      <x:c r="K86" s="17" t="str">
        <x:v>USD</x:v>
      </x:c>
      <x:c r="L86" s="32" t="n">
        <x:v>520</x:v>
      </x:c>
      <x:c r="M86" s="35" t="n">
        <x:v>6.766071115782099</x:v>
      </x:c>
      <x:c r="N86" s="17" t="str">
        <x:v>https://www.cigarhome.org/goods/781.html</x:v>
      </x:c>
    </x:row>
    <x:row r="87" ht="24" customHeight="1">
      <x:c r="A87" s="17" t="str">
        <x:v>蒙特克里斯托</x:v>
      </x:c>
      <x:c r="B87" s="17" t="str">
        <x:v>半皇冠</x:v>
      </x:c>
      <x:c r="C87" s="17" t="str">
        <x:v>44|90</x:v>
      </x:c>
      <x:c r="D87" s="20" t="n">
        <x:v>3100</x:v>
      </x:c>
      <x:c r="E87" s="23" t="n">
        <x:v>25</x:v>
      </x:c>
      <x:c r="F87" s="17" t="str">
        <x:v>TEST-19-1-299598</x:v>
      </x:c>
      <x:c r="G87" s="26" t="n">
        <x:v>2024</x:v>
      </x:c>
      <x:c r="H87" s="17" t="str">
        <x:v>澳门LCDH</x:v>
      </x:c>
      <x:c r="I87" s="17" t="str">
        <x:v>M</x:v>
      </x:c>
      <x:c r="J87" s="29" t="n">
        <x:v>45437.94412871528</x:v>
      </x:c>
      <x:c r="K87" s="17" t="str">
        <x:v>USD</x:v>
      </x:c>
      <x:c r="L87" s="32" t="n">
        <x:v>430</x:v>
      </x:c>
      <x:c r="M87" s="35" t="n">
        <x:v>6.766071115782099</x:v>
      </x:c>
      <x:c r="N87" s="17" t="str">
        <x:v>https://www.cigarhome.org/goods/207.html</x:v>
      </x:c>
    </x:row>
    <x:row r="88" ht="24" customHeight="1">
      <x:c r="A88" s="17" t="str">
        <x:v>古巴荣耀</x:v>
      </x:c>
      <x:c r="B88" s="17" t="str">
        <x:v>Medaille d’Or No.3 2002</x:v>
      </x:c>
      <x:c r="C88" s="17" t="str">
        <x:v>28|175</x:v>
      </x:c>
      <x:c r="D88" s="20" t="n">
        <x:v>14000</x:v>
      </x:c>
      <x:c r="E88" s="23" t="n">
        <x:v>10</x:v>
      </x:c>
      <x:c r="F88" s="17" t="str">
        <x:v>TEST-43-2-394403</x:v>
      </x:c>
      <x:c r="G88" s="26" t="n">
        <x:v>2002</x:v>
      </x:c>
      <x:c r="H88" s="17" t="str">
        <x:v>英国EMS</x:v>
      </x:c>
      <x:c r="I88" s="17" t="str">
        <x:v>A1</x:v>
      </x:c>
      <x:c r="J88" s="29" t="n">
        <x:v>45222.07420236111</x:v>
      </x:c>
      <x:c r="K88" s="17" t="str">
        <x:v>HKD</x:v>
      </x:c>
      <x:c r="L88" s="32" t="n">
        <x:v>15800</x:v>
      </x:c>
      <x:c r="M88" s="35" t="n">
        <x:v>0.8629433119240435</x:v>
      </x:c>
      <x:c r="N88" s="17" t="str">
        <x:v>https://hk.cohcigars.com/products/la-gloria-cubana-cigar-medaille-dor-no-3-box-10</x:v>
      </x:c>
    </x:row>
    <x:row r="89" ht="24" customHeight="1">
      <x:c r="A89" s="17" t="str">
        <x:v>帕特加斯</x:v>
      </x:c>
      <x:c r="B89" s="17" t="str">
        <x:v>蛇年 Cedros 2025</x:v>
      </x:c>
      <x:c r="C89" s="17" t="str">
        <x:v>50|155</x:v>
      </x:c>
      <x:c r="D89" s="20" t="n">
        <x:v>13790</x:v>
      </x:c>
      <x:c r="E89" s="23" t="n">
        <x:v>18</x:v>
      </x:c>
      <x:c r="F89" s="17" t="str">
        <x:v>TEST-45-2-262654</x:v>
      </x:c>
      <x:c r="G89" s="26" t="n">
        <x:v>2025</x:v>
      </x:c>
      <x:c r="H89" s="17" t="str">
        <x:v>COH香港</x:v>
      </x:c>
      <x:c r="I89" s="17" t="str">
        <x:v>TL</x:v>
      </x:c>
      <x:c r="J89" s="29" t="n">
        <x:v>45015.23468439815</x:v>
      </x:c>
      <x:c r="K89" s="17" t="str">
        <x:v>HKD</x:v>
      </x:c>
      <x:c r="L89" s="32" t="n">
        <x:v>15900</x:v>
      </x:c>
      <x:c r="M89" s="35" t="n">
        <x:v>0.8629433119240435</x:v>
      </x:c>
      <x:c r="N89" s="17" t="str">
        <x:v>https://hk.cohcigars.com/products/partagas-cedros-year-of-the-snake</x:v>
      </x:c>
    </x:row>
    <x:row r="90" ht="24" customHeight="1">
      <x:c r="A90" s="17" t="str">
        <x:v>帕特加斯</x:v>
      </x:c>
      <x:c r="B90" s="17" t="str">
        <x:v>超级帕特加斯</x:v>
      </x:c>
      <x:c r="C90" s="17" t="str">
        <x:v>40|140</x:v>
      </x:c>
      <x:c r="D90" s="20" t="n">
        <x:v>3180</x:v>
      </x:c>
      <x:c r="E90" s="23" t="n">
        <x:v>25</x:v>
      </x:c>
      <x:c r="F90" s="17" t="str">
        <x:v>TEST-24-2-133014</x:v>
      </x:c>
      <x:c r="G90" s="26" t="n">
        <x:v>2018</x:v>
      </x:c>
      <x:c r="H90" s="17" t="str">
        <x:v>澳门LCDH</x:v>
      </x:c>
      <x:c r="I90" s="17" t="str">
        <x:v>B2</x:v>
      </x:c>
      <x:c r="J90" s="29" t="n">
        <x:v>45853.557382280094</x:v>
      </x:c>
      <x:c r="K90" s="17" t="str">
        <x:v>HKD</x:v>
      </x:c>
      <x:c r="L90" s="32" t="n">
        <x:v>3500</x:v>
      </x:c>
      <x:c r="M90" s="35" t="n">
        <x:v>0.8629433119240435</x:v>
      </x:c>
      <x:c r="N90" s="17" t="str">
        <x:v>https://hk.cohcigars.com/products/partagas-cigar-super-partagas-box-25</x:v>
      </x:c>
    </x:row>
    <x:row r="91" ht="24" customHeight="1">
      <x:c r="A91" s="17" t="str">
        <x:v>雷蒙阿龙尼</x:v>
      </x:c>
      <x:c r="B91" s="17" t="str">
        <x:v>Absolutos 限量版 2024</x:v>
      </x:c>
      <x:c r="C91" s="17" t="str">
        <x:v>49|156</x:v>
      </x:c>
      <x:c r="D91" s="20" t="n">
        <x:v>12820</x:v>
      </x:c>
      <x:c r="E91" s="23" t="n">
        <x:v>20</x:v>
      </x:c>
      <x:c r="F91" s="17" t="str">
        <x:v>TEST-49-1-420991</x:v>
      </x:c>
      <x:c r="G91" s="26" t="n">
        <x:v>2024</x:v>
      </x:c>
      <x:c r="H91" s="17" t="str">
        <x:v>CigarHome香港</x:v>
      </x:c>
      <x:c r="I91" s="17" t="str">
        <x:v>B2</x:v>
      </x:c>
      <x:c r="J91" s="29" t="n">
        <x:v>45127.929323564815</x:v>
      </x:c>
      <x:c r="K91" s="17" t="str">
        <x:v>HKD</x:v>
      </x:c>
      <x:c r="L91" s="32" t="n">
        <x:v>14600</x:v>
      </x:c>
      <x:c r="M91" s="35" t="n">
        <x:v>0.8629433119240435</x:v>
      </x:c>
      <x:c r="N91" s="17" t="str">
        <x:v>https://hk.cohcigars.com/products/ramon-allones-absolutos-el-2024</x:v>
      </x:c>
    </x:row>
    <x:row r="92" ht="24" customHeight="1">
      <x:c r="A92" s="17" t="str">
        <x:v>高希霸</x:v>
      </x:c>
      <x:c r="B92" s="17" t="str">
        <x:v>魔术师</x:v>
      </x:c>
      <x:c r="C92" s="17" t="str">
        <x:v>52|115</x:v>
      </x:c>
      <x:c r="D92" s="20" t="n">
        <x:v>9970</x:v>
      </x:c>
      <x:c r="E92" s="23" t="n">
        <x:v>10</x:v>
      </x:c>
      <x:c r="F92" s="17" t="str">
        <x:v>TEST-04-2-548000</x:v>
      </x:c>
      <x:c r="G92" s="26" t="n">
        <x:v>2023</x:v>
      </x:c>
      <x:c r="H92" s="17" t="str">
        <x:v>COH香港</x:v>
      </x:c>
      <x:c r="I92" s="17" t="str">
        <x:v>B2</x:v>
      </x:c>
      <x:c r="J92" s="29" t="n">
        <x:v>45520.84843861111</x:v>
      </x:c>
      <x:c r="K92" s="17" t="str">
        <x:v>USD</x:v>
      </x:c>
      <x:c r="L92" s="32" t="n">
        <x:v>1450</x:v>
      </x:c>
      <x:c r="M92" s="35" t="n">
        <x:v>6.766071115782099</x:v>
      </x:c>
      <x:c r="N92" s="17" t="str">
        <x:v>https://www.cigarhome.org/goods/21.html</x:v>
      </x:c>
    </x:row>
    <x:row r="93" ht="24" customHeight="1">
      <x:c r="A93" s="17" t="str">
        <x:v>玻利瓦尔</x:v>
      </x:c>
      <x:c r="B93" s="17" t="str">
        <x:v>Coronas Gigantes 2008</x:v>
      </x:c>
      <x:c r="C93" s="17" t="str">
        <x:v>47|178</x:v>
      </x:c>
      <x:c r="D93" s="20" t="n">
        <x:v>64300</x:v>
      </x:c>
      <x:c r="E93" s="23" t="n">
        <x:v>50</x:v>
      </x:c>
      <x:c r="F93" s="17" t="str">
        <x:v>TEST-44-2-717606</x:v>
      </x:c>
      <x:c r="G93" s="26" t="n">
        <x:v>2008</x:v>
      </x:c>
      <x:c r="H93" s="17" t="str">
        <x:v>欧洲行货</x:v>
      </x:c>
      <x:c r="I93" s="17" t="str">
        <x:v>B2</x:v>
      </x:c>
      <x:c r="J93" s="29" t="n">
        <x:v>45216.045316689815</x:v>
      </x:c>
      <x:c r="K93" s="17" t="str">
        <x:v>HKD</x:v>
      </x:c>
      <x:c r="L93" s="32" t="n">
        <x:v>75500</x:v>
      </x:c>
      <x:c r="M93" s="35" t="n">
        <x:v>0.8629433119240435</x:v>
      </x:c>
      <x:c r="N93" s="17" t="str">
        <x:v>https://hk.cohcigars.com/products/vintage-2008-bolivar-coronas-gigantes-box-51</x:v>
      </x:c>
    </x:row>
    <x:row r="94" ht="24" customHeight="1">
      <x:c r="A94" s="17" t="str">
        <x:v>雷蒙阿龙尼</x:v>
      </x:c>
      <x:c r="B94" s="17" t="str">
        <x:v>小俱乐部高朗拿</x:v>
      </x:c>
      <x:c r="C94" s="17" t="str">
        <x:v>42|110</x:v>
      </x:c>
      <x:c r="D94" s="20" t="n">
        <x:v>2910</x:v>
      </x:c>
      <x:c r="E94" s="23" t="n">
        <x:v>25</x:v>
      </x:c>
      <x:c r="F94" s="17" t="str">
        <x:v>TEST-15-2-229948</x:v>
      </x:c>
      <x:c r="G94" s="26" t="n">
        <x:v>2020</x:v>
      </x:c>
      <x:c r="H94" s="17" t="str">
        <x:v>英国EMS</x:v>
      </x:c>
      <x:c r="I94" s="17" t="str">
        <x:v>GW</x:v>
      </x:c>
      <x:c r="J94" s="29" t="n">
        <x:v>44678.7329531713</x:v>
      </x:c>
      <x:c r="K94" s="17" t="str">
        <x:v>USD</x:v>
      </x:c>
      <x:c r="L94" s="32" t="n">
        <x:v>400</x:v>
      </x:c>
      <x:c r="M94" s="35" t="n">
        <x:v>6.766071115782099</x:v>
      </x:c>
      <x:c r="N94" s="17" t="str">
        <x:v>https://www.cigarhome.org/goods/111.html</x:v>
      </x:c>
    </x:row>
    <x:row r="95" ht="24" customHeight="1">
      <x:c r="A95" s="17" t="str">
        <x:v>潘趣</x:v>
      </x:c>
      <x:c r="B95" s="17" t="str">
        <x:v>Duke 墨西哥地区版 2018</x:v>
      </x:c>
      <x:c r="C95" s="17" t="str">
        <x:v>54|140</x:v>
      </x:c>
      <x:c r="D95" s="20" t="n">
        <x:v>7690</x:v>
      </x:c>
      <x:c r="E95" s="23" t="n">
        <x:v>10</x:v>
      </x:c>
      <x:c r="F95" s="17" t="str">
        <x:v>TEST-25-2-230412</x:v>
      </x:c>
      <x:c r="G95" s="26" t="n">
        <x:v>2018</x:v>
      </x:c>
      <x:c r="H95" s="17" t="str">
        <x:v>澳门LCDH</x:v>
      </x:c>
      <x:c r="I95" s="17" t="str">
        <x:v>M</x:v>
      </x:c>
      <x:c r="J95" s="29" t="n">
        <x:v>45028.57183284722</x:v>
      </x:c>
      <x:c r="K95" s="17" t="str">
        <x:v>HKD</x:v>
      </x:c>
      <x:c r="L95" s="32" t="n">
        <x:v>8775</x:v>
      </x:c>
      <x:c r="M95" s="35" t="n">
        <x:v>0.8629433119240435</x:v>
      </x:c>
      <x:c r="N95" s="17" t="str">
        <x:v>https://hk.cohcigars.com/products/duke-box-10-punch-cigars</x:v>
      </x:c>
    </x:row>
    <x:row r="96" ht="24" customHeight="1">
      <x:c r="A96" s="17" t="str">
        <x:v>罗密欧与朱丽叶</x:v>
      </x:c>
      <x:c r="B96" s="17" t="str">
        <x:v>短丘吉尔</x:v>
      </x:c>
      <x:c r="C96" s="17" t="str">
        <x:v>50|124</x:v>
      </x:c>
      <x:c r="D96" s="20" t="n">
        <x:v>6020</x:v>
      </x:c>
      <x:c r="E96" s="23" t="n">
        <x:v>25</x:v>
      </x:c>
      <x:c r="F96" s="17" t="str">
        <x:v>TEST-17-2-569912</x:v>
      </x:c>
      <x:c r="G96" s="26" t="n">
        <x:v>2019</x:v>
      </x:c>
      <x:c r="H96" s="17" t="str">
        <x:v>CigarHome香港</x:v>
      </x:c>
      <x:c r="I96" s="17" t="str">
        <x:v>GW</x:v>
      </x:c>
      <x:c r="J96" s="29" t="n">
        <x:v>46061.52248788194</x:v>
      </x:c>
      <x:c r="K96" s="17" t="str">
        <x:v>USD</x:v>
      </x:c>
      <x:c r="L96" s="32" t="n">
        <x:v>920</x:v>
      </x:c>
      <x:c r="M96" s="35" t="n">
        <x:v>6.766071115782099</x:v>
      </x:c>
      <x:c r="N96" s="17" t="str">
        <x:v>https://www.cigarhome.org/goods/350.html</x:v>
      </x:c>
    </x:row>
    <x:row r="97" ht="24" customHeight="1">
      <x:c r="A97" s="17" t="str">
        <x:v>圣克里斯托</x:v>
      </x:c>
      <x:c r="B97" s="17" t="str">
        <x:v>20周年纪念版</x:v>
      </x:c>
      <x:c r="C97" s="17" t="str">
        <x:v>52|140</x:v>
      </x:c>
      <x:c r="D97" s="20" t="n">
        <x:v>16200</x:v>
      </x:c>
      <x:c r="E97" s="23" t="n">
        <x:v>20</x:v>
      </x:c>
      <x:c r="F97" s="17" t="str">
        <x:v>TEST-34-2-607927</x:v>
      </x:c>
      <x:c r="G97" s="26" t="n">
        <x:v>2023</x:v>
      </x:c>
      <x:c r="H97" s="17" t="str">
        <x:v>欧洲行货</x:v>
      </x:c>
      <x:c r="I97" s="17" t="str">
        <x:v>TL</x:v>
      </x:c>
      <x:c r="J97" s="29" t="n">
        <x:v>45559.794770775465</x:v>
      </x:c>
      <x:c r="K97" s="17" t="str">
        <x:v>HKD</x:v>
      </x:c>
      <x:c r="L97" s="32" t="n">
        <x:v>18500</x:v>
      </x:c>
      <x:c r="M97" s="35" t="n">
        <x:v>0.8629433119240435</x:v>
      </x:c>
      <x:c r="N97" s="17" t="str">
        <x:v>https://hk.cohcigars.com/products/san-cristobal-de-la-habana-cigar-20-aniversario-box-20</x:v>
      </x:c>
    </x:row>
    <x:row r="98" ht="24" customHeight="1">
      <x:c r="A98" s="17" t="str">
        <x:v>高希霸</x:v>
      </x:c>
      <x:c r="B98" s="17" t="str">
        <x:v>世纪六号（10支）</x:v>
      </x:c>
      <x:c r="C98" s="17" t="str">
        <x:v>52|150</x:v>
      </x:c>
      <x:c r="D98" s="20" t="n">
        <x:v>10940</x:v>
      </x:c>
      <x:c r="E98" s="23" t="n">
        <x:v>10</x:v>
      </x:c>
      <x:c r="F98" s="17" t="str">
        <x:v>TEST-03-2-565834</x:v>
      </x:c>
      <x:c r="G98" s="26" t="n">
        <x:v>2020</x:v>
      </x:c>
      <x:c r="H98" s="17" t="str">
        <x:v>澳门LCDH</x:v>
      </x:c>
      <x:c r="I98" s="17" t="str">
        <x:v>TL</x:v>
      </x:c>
      <x:c r="J98" s="29" t="n">
        <x:v>45950.36741488426</x:v>
      </x:c>
      <x:c r="K98" s="17" t="str">
        <x:v>USD</x:v>
      </x:c>
      <x:c r="L98" s="32" t="n">
        <x:v>1750</x:v>
      </x:c>
      <x:c r="M98" s="35" t="n">
        <x:v>6.766071115782099</x:v>
      </x:c>
      <x:c r="N98" s="17" t="str">
        <x:v>https://www.cigarhome.org/goods/24.html</x:v>
      </x:c>
    </x:row>
    <x:row r="99" ht="24" customHeight="1">
      <x:c r="A99" s="17" t="str">
        <x:v>好友</x:v>
      </x:c>
      <x:c r="B99" s="17" t="str">
        <x:v>小罗布图</x:v>
      </x:c>
      <x:c r="C99" s="17" t="str">
        <x:v>50|102</x:v>
      </x:c>
      <x:c r="D99" s="20" t="n">
        <x:v>4670</x:v>
      </x:c>
      <x:c r="E99" s="23" t="n">
        <x:v>25</x:v>
      </x:c>
      <x:c r="F99" s="17" t="str">
        <x:v>TEST-11-2-197769</x:v>
      </x:c>
      <x:c r="G99" s="26" t="n">
        <x:v>2019</x:v>
      </x:c>
      <x:c r="H99" s="17" t="str">
        <x:v>COH香港</x:v>
      </x:c>
      <x:c r="I99" s="17" t="str">
        <x:v>GW</x:v>
      </x:c>
      <x:c r="J99" s="29" t="n">
        <x:v>44562.19621929398</x:v>
      </x:c>
      <x:c r="K99" s="17" t="str">
        <x:v>USD</x:v>
      </x:c>
      <x:c r="L99" s="32" t="n">
        <x:v>680</x:v>
      </x:c>
      <x:c r="M99" s="35" t="n">
        <x:v>6.766071115782099</x:v>
      </x:c>
      <x:c r="N99" s="17" t="str">
        <x:v>https://www.cigarhome.org/goods/148.html</x:v>
      </x:c>
    </x:row>
    <x:row r="100" ht="24" customHeight="1">
      <x:c r="A100" s="17" t="str">
        <x:v>多尔塞码头</x:v>
      </x:c>
      <x:c r="B100" s="17" t="str">
        <x:v>50周年特别版（20支）</x:v>
      </x:c>
      <x:c r="C100" s="17" t="str">
        <x:v>52|156</x:v>
      </x:c>
      <x:c r="D100" s="20" t="n">
        <x:v>13090</x:v>
      </x:c>
      <x:c r="E100" s="23" t="n">
        <x:v>20</x:v>
      </x:c>
      <x:c r="F100" s="17" t="str">
        <x:v>TEST-18-1-835634</x:v>
      </x:c>
      <x:c r="G100" s="26" t="n">
        <x:v>2022</x:v>
      </x:c>
      <x:c r="H100" s="17" t="str">
        <x:v>英国EMS</x:v>
      </x:c>
      <x:c r="I100" s="17" t="str">
        <x:v>TL</x:v>
      </x:c>
      <x:c r="J100" s="29" t="n">
        <x:v>45777.125779375</x:v>
      </x:c>
      <x:c r="K100" s="17" t="str">
        <x:v>USD</x:v>
      </x:c>
      <x:c r="L100" s="32" t="n">
        <x:v>2080</x:v>
      </x:c>
      <x:c r="M100" s="35" t="n">
        <x:v>6.766071115782099</x:v>
      </x:c>
      <x:c r="N100" s="17" t="str">
        <x:v>https://www.cigarhome.org/goods/783.html</x:v>
      </x:c>
    </x:row>
    <x:row r="101" ht="24" customHeight="1">
      <x:c r="A101" s="18" t="str">
        <x:v>圣克里斯托</x:v>
      </x:c>
      <x:c r="B101" s="18" t="str">
        <x:v>王子</x:v>
      </x:c>
      <x:c r="C101" s="18" t="str">
        <x:v>42|110</x:v>
      </x:c>
      <x:c r="D101" s="21" t="n">
        <x:v>2470</x:v>
      </x:c>
      <x:c r="E101" s="24" t="n">
        <x:v>25</x:v>
      </x:c>
      <x:c r="F101" s="18" t="str">
        <x:v>TEST-20-1-788951</x:v>
      </x:c>
      <x:c r="G101" s="27" t="n">
        <x:v>2022</x:v>
      </x:c>
      <x:c r="H101" s="18" t="str">
        <x:v>欧洲行货</x:v>
      </x:c>
      <x:c r="I101" s="18" t="str">
        <x:v>GW</x:v>
      </x:c>
      <x:c r="J101" s="30" t="n">
        <x:v>44959.476592037034</x:v>
      </x:c>
      <x:c r="K101" s="18" t="str">
        <x:v>USD</x:v>
      </x:c>
      <x:c r="L101" s="33" t="n">
        <x:v>380</x:v>
      </x:c>
      <x:c r="M101" s="36" t="n">
        <x:v>6.766071115782099</x:v>
      </x:c>
      <x:c r="N101" s="18" t="str">
        <x:v>https://www.cigarhome.org/goods/126.html</x:v>
      </x:c>
    </x:row>
  </x:sheetData>
  <x:conditionalFormatting sqref="A2:N101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20" hidden="0" customWidth="1"/>
    <x:col min="8" max="8" width="54" hidden="0" customWidth="1"/>
  </x:cols>
  <x:sheetData>
    <x:row r="1" ht="28" customHeight="1">
      <x:c r="A1" s="9" t="str">
        <x:v>品牌</x:v>
      </x:c>
      <x:c r="B1" s="10" t="str">
        <x:v>型号</x:v>
      </x:c>
      <x:c r="C1" s="10" t="str">
        <x:v>单支价格</x:v>
      </x:c>
      <x:c r="D1" s="10" t="str">
        <x:v>支数</x:v>
      </x:c>
      <x:c r="E1" s="10" t="str">
        <x:v>年份</x:v>
      </x:c>
      <x:c r="F1" s="10" t="str">
        <x:v>柜号</x:v>
      </x:c>
      <x:c r="G1" s="10" t="str">
        <x:v>入库时间</x:v>
      </x:c>
      <x:c r="H1" s="11" t="str">
        <x:v>参考页面</x:v>
      </x:c>
    </x:row>
    <x:row r="2" ht="24" customHeight="1">
      <x:c r="A2" s="16" t="str">
        <x:v>高希霸</x:v>
      </x:c>
      <x:c r="B2" s="16" t="str">
        <x:v>世纪六号（10支）</x:v>
      </x:c>
      <x:c r="C2" s="19" t="n">
        <x:v>1131</x:v>
      </x:c>
      <x:c r="D2" s="22" t="n">
        <x:v>120</x:v>
      </x:c>
      <x:c r="E2" s="25" t="n">
        <x:v>2018</x:v>
      </x:c>
      <x:c r="F2" s="16" t="str">
        <x:v>M</x:v>
      </x:c>
      <x:c r="G2" s="28" t="n">
        <x:v>45797.00778533565</x:v>
      </x:c>
      <x:c r="H2" s="16" t="str">
        <x:v>https://www.cigarhome.org/goods/24.html</x:v>
      </x:c>
    </x:row>
    <x:row r="3" ht="24" customHeight="1">
      <x:c r="A3" s="17" t="str">
        <x:v>蒙特克里斯托</x:v>
      </x:c>
      <x:c r="B3" s="17" t="str">
        <x:v>4号</x:v>
      </x:c>
      <x:c r="C3" s="20" t="n">
        <x:v>166</x:v>
      </x:c>
      <x:c r="D3" s="23" t="n">
        <x:v>180</x:v>
      </x:c>
      <x:c r="E3" s="26" t="n">
        <x:v>2018</x:v>
      </x:c>
      <x:c r="F3" s="17" t="str">
        <x:v>GW</x:v>
      </x:c>
      <x:c r="G3" s="29" t="n">
        <x:v>45044.480639050926</x:v>
      </x:c>
      <x:c r="H3" s="17" t="str">
        <x:v>https://www.cigarhome.org/goods/213.html</x:v>
      </x:c>
    </x:row>
    <x:row r="4" ht="24" customHeight="1">
      <x:c r="A4" s="17" t="str">
        <x:v>高希霸</x:v>
      </x:c>
      <x:c r="B4" s="17" t="str">
        <x:v>Behike 15周年礼盒</x:v>
      </x:c>
      <x:c r="C4" s="20" t="n">
        <x:v>4303</x:v>
      </x:c>
      <x:c r="D4" s="23" t="n">
        <x:v>200</x:v>
      </x:c>
      <x:c r="E4" s="26" t="n">
        <x:v>2019</x:v>
      </x:c>
      <x:c r="F4" s="17" t="str">
        <x:v>TL</x:v>
      </x:c>
      <x:c r="G4" s="29" t="n">
        <x:v>46027.563921712965</x:v>
      </x:c>
      <x:c r="H4" s="17" t="str">
        <x:v>https://hk.cohcigars.com/products/cohiba-behike-15-anniversary-gift-box-box-4-cohiba-cigars</x:v>
      </x:c>
    </x:row>
    <x:row r="5" ht="24" customHeight="1">
      <x:c r="A5" s="17" t="str">
        <x:v>大卫杜夫</x:v>
      </x:c>
      <x:c r="B5" s="17" t="str">
        <x:v>Yamasa Piramides</x:v>
      </x:c>
      <x:c r="C5" s="20" t="n">
        <x:v>291</x:v>
      </x:c>
      <x:c r="D5" s="23" t="n">
        <x:v>225</x:v>
      </x:c>
      <x:c r="E5" s="26" t="n">
        <x:v>2023</x:v>
      </x:c>
      <x:c r="F5" s="17" t="str">
        <x:v>A1</x:v>
      </x:c>
      <x:c r="G5" s="29" t="n">
        <x:v>44869.24989638889</x:v>
      </x:c>
      <x:c r="H5" s="17" t="str">
        <x:v>https://hk.cohcigars.com/products/davidoff-cigar-yamasa-piramides-box-12</x:v>
      </x:c>
    </x:row>
    <x:row r="6" ht="24" customHeight="1">
      <x:c r="A6" s="18" t="str">
        <x:v>乌普曼</x:v>
      </x:c>
      <x:c r="B6" s="18" t="str">
        <x:v>Magnum 46 2008</x:v>
      </x:c>
      <x:c r="C6" s="21" t="n">
        <x:v>699</x:v>
      </x:c>
      <x:c r="D6" s="24" t="n">
        <x:v>275</x:v>
      </x:c>
      <x:c r="E6" s="27" t="n">
        <x:v>2008</x:v>
      </x:c>
      <x:c r="F6" s="18" t="str">
        <x:v>B2</x:v>
      </x:c>
      <x:c r="G6" s="30" t="n">
        <x:v>44876.36937594907</x:v>
      </x:c>
      <x:c r="H6" s="18" t="str">
        <x:v>https://hk.cohcigars.com/products/vintage-2008-h-upmann-magnum-46-box-25</x:v>
      </x:c>
    </x:row>
  </x:sheetData>
  <x:conditionalFormatting sqref="A2:H6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16" hidden="0" customWidth="1"/>
    <x:col min="4" max="4" width="68" hidden="0" customWidth="1"/>
  </x:cols>
  <x:sheetData>
    <x:row r="1" ht="34" customHeight="1">
      <x:c r="A1" s="40" t="str">
        <x:v>雪茄库存测试数据说明</x:v>
      </x:c>
      <x:c r="B1" s="40"/>
      <x:c r="C1" s="40"/>
      <x:c r="D1" s="40"/>
    </x:row>
    <x:row r="3">
      <x:c r="A3" s="9" t="str">
        <x:v>项目</x:v>
      </x:c>
      <x:c r="B3" s="11" t="str">
        <x:v>内容</x:v>
      </x:c>
    </x:row>
    <x:row r="4">
      <x:c r="A4" s="16" t="str">
        <x:v>原盒库存</x:v>
      </x:c>
      <x:c r="B4" s="22" t="n">
        <x:f>COUNTA('原盒'!A2:A101)</x:f>
        <x:v>100</x:v>
      </x:c>
    </x:row>
    <x:row r="5">
      <x:c r="A5" s="17" t="str">
        <x:v>散养组数</x:v>
      </x:c>
      <x:c r="B5" s="23" t="n">
        <x:f>COUNTA('散支'!A2:A6)</x:f>
        <x:v>5</x:v>
      </x:c>
    </x:row>
    <x:row r="6">
      <x:c r="A6" s="17" t="str">
        <x:v>散养总支数</x:v>
      </x:c>
      <x:c r="B6" s="23" t="n">
        <x:f>SUM('散支'!D2:D6)</x:f>
        <x:v>1000</x:v>
      </x:c>
    </x:row>
    <x:row r="7" ht="34" customHeight="1">
      <x:c r="A7" s="17" t="str">
        <x:v>数据性质</x:v>
      </x:c>
      <x:c r="B7" s="41" t="str">
        <x:v>仅用于软件测试，不代表真实库存或成交价格</x:v>
      </x:c>
    </x:row>
    <x:row r="8" ht="34" customHeight="1">
      <x:c r="A8" s="17" t="str">
        <x:v>价格处理</x:v>
      </x:c>
      <x:c r="B8" s="41" t="str">
        <x:v>参考公开标价换算人民币，并加入 ±8% 测试波动后取整</x:v>
      </x:c>
    </x:row>
    <x:row r="9" ht="34" customHeight="1">
      <x:c r="A9" s="17" t="str">
        <x:v>入库时间</x:v>
      </x:c>
      <x:c r="B9" s="41" t="str">
        <x:v>随机分布于 2021-07-22 至 2026-07-21</x:v>
      </x:c>
    </x:row>
    <x:row r="10" ht="34" customHeight="1">
      <x:c r="A10" s="18" t="str">
        <x:v>生成日期</x:v>
      </x:c>
      <x:c r="B10" s="42" t="str">
        <x:v>2026-07-22</x:v>
      </x:c>
    </x:row>
    <x:row r="12">
      <x:c r="A12" s="9" t="str">
        <x:v>汇率与来源</x:v>
      </x:c>
      <x:c r="B12" s="10" t="str">
        <x:v>数值</x:v>
      </x:c>
      <x:c r="C12" s="10" t="str">
        <x:v>日期</x:v>
      </x:c>
      <x:c r="D12" s="11" t="str">
        <x:v>来源网址</x:v>
      </x:c>
    </x:row>
    <x:row r="13">
      <x:c r="A13" s="16" t="str">
        <x:v>USD/CNY</x:v>
      </x:c>
      <x:c r="B13" s="34" t="n">
        <x:v>6.766071115782099</x:v>
      </x:c>
      <x:c r="C13" s="16" t="str">
        <x:v>2026-07-21</x:v>
      </x:c>
      <x:c r="D13" s="16" t="str">
        <x:v>https://www.ecb.europa.eu/stats/eurofxref/eurofxref-daily.xml</x:v>
      </x:c>
    </x:row>
    <x:row r="14">
      <x:c r="A14" s="17" t="str">
        <x:v>HKD/CNY</x:v>
      </x:c>
      <x:c r="B14" s="35" t="n">
        <x:v>0.8629433119240435</x:v>
      </x:c>
      <x:c r="C14" s="17" t="str">
        <x:v>2026-07-21</x:v>
      </x:c>
      <x:c r="D14" s="17" t="str">
        <x:v>https://www.ecb.europa.eu/stats/eurofxref/eurofxref-daily.xml</x:v>
      </x:c>
    </x:row>
    <x:row r="15">
      <x:c r="A15" s="17" t="str">
        <x:v>CigarHome 商品样本</x:v>
      </x:c>
      <x:c r="B15" s="17" t="n">
        <x:v>20</x:v>
      </x:c>
      <x:c r="C15" s="17" t="str">
        <x:v>2026-07-22</x:v>
      </x:c>
      <x:c r="D15" s="17" t="str">
        <x:v>https://www.cigarhome.org/goods_1/</x:v>
      </x:c>
    </x:row>
    <x:row r="16">
      <x:c r="A16" s="18" t="str">
        <x:v>COH Cigars 商品样本</x:v>
      </x:c>
      <x:c r="B16" s="18" t="n">
        <x:v>30</x:v>
      </x:c>
      <x:c r="C16" s="18" t="str">
        <x:v>2026-07-22</x:v>
      </x:c>
      <x:c r="D16" s="18" t="str">
        <x:v>https://hk.cohcigars.com/products.json?limit=250</x:v>
      </x:c>
    </x:row>
  </x:sheetData>
  <x:mergeCells>
    <x:mergeCell ref="A1:D1"/>
  </x:mergeCells>
  <x:pageMargins left="0.7" right="0.7" top="0.75" bottom="0.75" header="0.3" footer="0.3"/>
</x:worksheet>
</file>